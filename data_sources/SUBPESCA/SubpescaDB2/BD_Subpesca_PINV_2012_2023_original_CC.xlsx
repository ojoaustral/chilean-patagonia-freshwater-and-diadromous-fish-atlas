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istian\Dropbox\Pew_Fish Database\SUBPESCA\SubpescaSegundaBD\"/>
    </mc:Choice>
  </mc:AlternateContent>
  <bookViews>
    <workbookView xWindow="-96" yWindow="0" windowWidth="11712" windowHeight="12336" activeTab="1"/>
  </bookViews>
  <sheets>
    <sheet name="Sheet1" sheetId="2" r:id="rId1"/>
    <sheet name="Original" sheetId="1" r:id="rId2"/>
  </sheets>
  <definedNames>
    <definedName name="_xlnm._FilterDatabase" localSheetId="1" hidden="1">Original!$A$1:$AI$235</definedName>
  </definedNames>
  <calcPr calcId="152511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3" i="1"/>
  <c r="E4" i="1"/>
  <c r="E6" i="1"/>
  <c r="E7" i="1"/>
  <c r="E2" i="1"/>
  <c r="F39" i="2"/>
  <c r="F40" i="2"/>
  <c r="G40" i="2" s="1"/>
  <c r="F41" i="2"/>
  <c r="F42" i="2"/>
  <c r="F43" i="2"/>
  <c r="G43" i="2" s="1"/>
  <c r="F44" i="2"/>
  <c r="F45" i="2"/>
  <c r="G45" i="2" s="1"/>
  <c r="F46" i="2"/>
  <c r="F47" i="2"/>
  <c r="F48" i="2"/>
  <c r="F49" i="2"/>
  <c r="G39" i="2"/>
  <c r="G41" i="2"/>
  <c r="G42" i="2"/>
  <c r="G44" i="2"/>
  <c r="G46" i="2"/>
  <c r="G47" i="2"/>
  <c r="G48" i="2"/>
  <c r="G49" i="2"/>
  <c r="G38" i="2"/>
  <c r="F38" i="2"/>
  <c r="B50" i="2"/>
  <c r="C50" i="2"/>
  <c r="C51" i="2"/>
</calcChain>
</file>

<file path=xl/sharedStrings.xml><?xml version="1.0" encoding="utf-8"?>
<sst xmlns="http://schemas.openxmlformats.org/spreadsheetml/2006/main" count="3504" uniqueCount="335">
  <si>
    <t>N° DE RESOLUCIÓN SUBPESCA</t>
  </si>
  <si>
    <t>EJECUTOR</t>
  </si>
  <si>
    <t>TITULO PROYECTO</t>
  </si>
  <si>
    <t>MANDANTE O TITULAR</t>
  </si>
  <si>
    <t xml:space="preserve">FUENTE </t>
  </si>
  <si>
    <t>CUENCA</t>
  </si>
  <si>
    <t xml:space="preserve">MES </t>
  </si>
  <si>
    <t>AÑO</t>
  </si>
  <si>
    <t>HORA DE MUESTREO</t>
  </si>
  <si>
    <t>ESTACIÓN</t>
  </si>
  <si>
    <t xml:space="preserve">LATITUD </t>
  </si>
  <si>
    <t xml:space="preserve">LONGITUD </t>
  </si>
  <si>
    <t>GRUPO TAXONÓMICO</t>
  </si>
  <si>
    <t>NOMBRE CIENTÍFICO</t>
  </si>
  <si>
    <t>NOMBRE COMÚN</t>
  </si>
  <si>
    <t>N° INDIVIDUOS</t>
  </si>
  <si>
    <t>TIPO DE ARTE</t>
  </si>
  <si>
    <t>VALOR CPUE</t>
  </si>
  <si>
    <t>UNIDAD CPUE</t>
  </si>
  <si>
    <t>Nº SACRIFICADOS</t>
  </si>
  <si>
    <t>DIDYMO VISUAL</t>
  </si>
  <si>
    <t>MUESTRA</t>
  </si>
  <si>
    <t>N° DE INDIVIDUOS</t>
  </si>
  <si>
    <t>PESO_MIN_GR</t>
  </si>
  <si>
    <t>PESO_MAX_GR</t>
  </si>
  <si>
    <t>PESO_PROMEDIO</t>
  </si>
  <si>
    <t>PESO D.S.</t>
  </si>
  <si>
    <t>LONG_MIN_CM</t>
  </si>
  <si>
    <t>LONG_MAX_CM</t>
  </si>
  <si>
    <t>LONG_PROMEDIO</t>
  </si>
  <si>
    <t>LONG_D.S.</t>
  </si>
  <si>
    <t>R.EX N°262/2012</t>
  </si>
  <si>
    <t>Maring EIRL</t>
  </si>
  <si>
    <t>Piscultura El Arco</t>
  </si>
  <si>
    <t>Garo S.A</t>
  </si>
  <si>
    <t>PRIVADA</t>
  </si>
  <si>
    <t>Río  Simpson</t>
  </si>
  <si>
    <t>FEBRERO</t>
  </si>
  <si>
    <t>PECES</t>
  </si>
  <si>
    <t>Oncorhynchus mykiss</t>
  </si>
  <si>
    <t>Trucha Arcoíris</t>
  </si>
  <si>
    <t>1. PESCA ELÉCTRICA</t>
  </si>
  <si>
    <t>(IND/HORA)</t>
  </si>
  <si>
    <t>NO</t>
  </si>
  <si>
    <t>SI</t>
  </si>
  <si>
    <t>Salmo trutta</t>
  </si>
  <si>
    <t>TRUCHA CAFÉ</t>
  </si>
  <si>
    <t>R.EX N°767/2014</t>
  </si>
  <si>
    <t>GAMAN LIMNO STUDIES LTDA.</t>
  </si>
  <si>
    <t>CENTRAL HIDROELECTRICA CHAICA</t>
  </si>
  <si>
    <t>INGENIUM CIVIL S.A</t>
  </si>
  <si>
    <t>CHAICA</t>
  </si>
  <si>
    <t>MARZO</t>
  </si>
  <si>
    <t>E1</t>
  </si>
  <si>
    <t xml:space="preserve"> 41°35'52.80"S</t>
  </si>
  <si>
    <t xml:space="preserve"> 72°36'2.00"O</t>
  </si>
  <si>
    <t>Actinopterygii</t>
  </si>
  <si>
    <t>Salmo salar</t>
  </si>
  <si>
    <t>Salmón del Atlántico</t>
  </si>
  <si>
    <t>2. ESPINEL</t>
  </si>
  <si>
    <t>(IND/N°ANZ/HORA)</t>
  </si>
  <si>
    <t>Trucha café</t>
  </si>
  <si>
    <t>-</t>
  </si>
  <si>
    <t>E2</t>
  </si>
  <si>
    <t xml:space="preserve"> 41°36'8.55"S</t>
  </si>
  <si>
    <t xml:space="preserve"> 72°36'59.17"O</t>
  </si>
  <si>
    <t>E3</t>
  </si>
  <si>
    <t xml:space="preserve"> 41°36'22.59"S</t>
  </si>
  <si>
    <t xml:space="preserve"> 72°38'43.20"O</t>
  </si>
  <si>
    <t>E4</t>
  </si>
  <si>
    <t xml:space="preserve"> 41°36'29.23"S</t>
  </si>
  <si>
    <t xml:space="preserve"> 72°39'9.66"O</t>
  </si>
  <si>
    <t>E5</t>
  </si>
  <si>
    <t xml:space="preserve"> 41°36'38.76"S</t>
  </si>
  <si>
    <t xml:space="preserve"> 72°39'14.32"O</t>
  </si>
  <si>
    <t>Aplochiton zebra</t>
  </si>
  <si>
    <t>Peladilla</t>
  </si>
  <si>
    <t>Galaxias maculatus</t>
  </si>
  <si>
    <t>Puye</t>
  </si>
  <si>
    <t>JULIO</t>
  </si>
  <si>
    <t>R.EX N°3232/2016</t>
  </si>
  <si>
    <t>CLAUDIA VERDUGO CASTRO (ECOSISTEMA)</t>
  </si>
  <si>
    <t>PISCICULTURA DE RECIRCULACIÓN LAGO BALMACEDA, SEALAND AQUACULTURE S.A. RESPUESTA OBSERVACIÓN 1.2.8 ICSARA N°1 (064/2016)</t>
  </si>
  <si>
    <t>SEALAND AQUACULTURE S.A.</t>
  </si>
  <si>
    <t>RÍO HOLLEMBERG</t>
  </si>
  <si>
    <t>Oncorhynchus tshawyttscha</t>
  </si>
  <si>
    <t>Salmón chinook</t>
  </si>
  <si>
    <t>PROSPECCIÓN VISUAL</t>
  </si>
  <si>
    <t>R. EX N°388/2018</t>
  </si>
  <si>
    <t>ICNOVA ING CONSULTORES</t>
  </si>
  <si>
    <t>Diagnostico Hidrobiológico de Laguna Escondida y Laguna Barrosa - Declaración de Impacto Ambiental Almacenamiento de Agua de Interior Mina Javiera en Laguna Salitrosa, Comuna de Chile Chico, XII Región de Aysén</t>
  </si>
  <si>
    <t>Compañía Minera Cerro Bayo Ltda</t>
  </si>
  <si>
    <t>Costeras entre Rio Jeinemeni y Rio San Jose</t>
  </si>
  <si>
    <t>Laguna Barrosa</t>
  </si>
  <si>
    <t>46°31'32.38''S</t>
  </si>
  <si>
    <t>71°50'43.89''W</t>
  </si>
  <si>
    <t>Odonthestes hatcheri</t>
  </si>
  <si>
    <t>Cauque patagonico</t>
  </si>
  <si>
    <t>Pesca eléctrica (SAMU)</t>
  </si>
  <si>
    <t>9.3</t>
  </si>
  <si>
    <t>15.5</t>
  </si>
  <si>
    <t>11.9</t>
  </si>
  <si>
    <t>Laguna Escondida</t>
  </si>
  <si>
    <t>46°31'0.40''S</t>
  </si>
  <si>
    <t>71°50'40.24''W</t>
  </si>
  <si>
    <t>7.6</t>
  </si>
  <si>
    <t>10.3</t>
  </si>
  <si>
    <t>R. EX N°838/2018</t>
  </si>
  <si>
    <t>ICNOVA ING</t>
  </si>
  <si>
    <t>Proyecto de riego Magallanes, embalse río Porvenir</t>
  </si>
  <si>
    <t>Comisión Nacional de Riego</t>
  </si>
  <si>
    <t>PUBLICA</t>
  </si>
  <si>
    <t>Tierra del Fuego</t>
  </si>
  <si>
    <t>ABRIL</t>
  </si>
  <si>
    <t>LI-02</t>
  </si>
  <si>
    <t>Galaxias platei</t>
  </si>
  <si>
    <t>LI-03</t>
  </si>
  <si>
    <t>Onchorynchus mykiss</t>
  </si>
  <si>
    <t>Trucha arcoiris</t>
  </si>
  <si>
    <t>R.EX N°1628/2019</t>
  </si>
  <si>
    <t>MARTINEZ AMBIENTAL LTDA</t>
  </si>
  <si>
    <t>MINA INVIERNO</t>
  </si>
  <si>
    <t>MINERA INVIERNO SA</t>
  </si>
  <si>
    <t>ESTERO CHORRILLO INVIERNO N° 3</t>
  </si>
  <si>
    <t>AGOSTO</t>
  </si>
  <si>
    <t>9:00 - 16:00 HRS</t>
  </si>
  <si>
    <t>CH-5</t>
  </si>
  <si>
    <t>Galaxiidae</t>
  </si>
  <si>
    <t>Galaxias Maculatus</t>
  </si>
  <si>
    <t>Puye Chico</t>
  </si>
  <si>
    <t>CH-6</t>
  </si>
  <si>
    <t>Salmonidae</t>
  </si>
  <si>
    <t>Trucha Café</t>
  </si>
  <si>
    <t>CH-8</t>
  </si>
  <si>
    <t>NOVIEMBRE</t>
  </si>
  <si>
    <t>CH-7</t>
  </si>
  <si>
    <t>ESTERO CHORRILLO INVIERNO N° 2</t>
  </si>
  <si>
    <t>JUNIO</t>
  </si>
  <si>
    <t>CH-14</t>
  </si>
  <si>
    <t>SEPTIEMBRE</t>
  </si>
  <si>
    <t>OCTUBRE</t>
  </si>
  <si>
    <t>R. EX N°65/2020</t>
  </si>
  <si>
    <t>Claudia Verdugo Castro</t>
  </si>
  <si>
    <t>Monitoreo Limnológico Proyecto Refundición de RCA's Amplición y Cambio Operacional, Río Petrohué, comuna de Puerto Varas, Región de Los Lagos</t>
  </si>
  <si>
    <t>Salmones Camanchaca S.A.</t>
  </si>
  <si>
    <t>Cuencas e islas entre Río Bueno y Río Puelo</t>
  </si>
  <si>
    <t>peces</t>
  </si>
  <si>
    <t>Trichomycterus areolatus</t>
  </si>
  <si>
    <t>Bagrecitro</t>
  </si>
  <si>
    <t>treucha arcoíris</t>
  </si>
  <si>
    <t>13:00 p.m</t>
  </si>
  <si>
    <t>bagrecito</t>
  </si>
  <si>
    <t>16:00 p.m</t>
  </si>
  <si>
    <t>E6</t>
  </si>
  <si>
    <t>Geotria australis</t>
  </si>
  <si>
    <t>Laprea de Bolsa</t>
  </si>
  <si>
    <t>Oncorhynchus kisutch</t>
  </si>
  <si>
    <t>Salmón coho</t>
  </si>
  <si>
    <t xml:space="preserve">R. EX. N° E-2020-607 </t>
  </si>
  <si>
    <t>CLAUDIA VERDUGO CASTRO</t>
  </si>
  <si>
    <t>Línea base limnológica Río Trainel cercano a la Piscicultura Trainel, Región de Los Lagos</t>
  </si>
  <si>
    <t>Piscicultura Trainel</t>
  </si>
  <si>
    <t>Privada</t>
  </si>
  <si>
    <t>a Isla Chiloé y la Sub Sub Cuenca Costera Vertiente Oeste entre río Cucao y río Medina</t>
  </si>
  <si>
    <t>ENERO</t>
  </si>
  <si>
    <t>EST 2</t>
  </si>
  <si>
    <t>Peces</t>
  </si>
  <si>
    <t xml:space="preserve">Puye </t>
  </si>
  <si>
    <t>trucha café</t>
  </si>
  <si>
    <t>EST 3</t>
  </si>
  <si>
    <t>R. EX N°E-2021-074</t>
  </si>
  <si>
    <t xml:space="preserve">Jaime Illanes y Asociados Consultores S.A. </t>
  </si>
  <si>
    <t>Caracterización ecosistemas acuáticos continentales asociados al proyecto modificación piscicultura los Tilcos, Río Chico región de los Lagos</t>
  </si>
  <si>
    <t>Rio Chamiza Entre Estero Pangal y Desembocadura</t>
  </si>
  <si>
    <t>PLT-1</t>
  </si>
  <si>
    <t xml:space="preserve"> 41°25'19.26"S</t>
  </si>
  <si>
    <t xml:space="preserve"> 72°49'10.61"O</t>
  </si>
  <si>
    <t>Mordacia lapicida</t>
  </si>
  <si>
    <t>Lamprea de agua dulce</t>
  </si>
  <si>
    <t>(IND/MIN)</t>
  </si>
  <si>
    <t>PLT-2</t>
  </si>
  <si>
    <t xml:space="preserve"> 41°25'49.50"S</t>
  </si>
  <si>
    <t xml:space="preserve"> 72°48'59.17"O</t>
  </si>
  <si>
    <t>Bagrecito</t>
  </si>
  <si>
    <t>PLT-3</t>
  </si>
  <si>
    <t xml:space="preserve"> 41°26'0.39"S</t>
  </si>
  <si>
    <t xml:space="preserve"> 72°48'45.55"O</t>
  </si>
  <si>
    <t>PLT-4</t>
  </si>
  <si>
    <t xml:space="preserve"> 41°26'24.94"S</t>
  </si>
  <si>
    <t xml:space="preserve"> 72°49'08.24"O</t>
  </si>
  <si>
    <t>R. EX N°411-2017</t>
  </si>
  <si>
    <t>Cultivos Marinos Lago Yelcho S.P.A.</t>
  </si>
  <si>
    <t>CARACTERIZACIÓN DE FAUNA ÍCTICA ASOCIADA AL PROYECTO, PISCICULTURA SAN JOAQUÍN. RIO CISNES, HUALAIHUÉ ESTERO, COMUNA DE HUALAIHUÉ, PROVINCIA DE PALENA. REGIÓN DE LOS LAGOS.</t>
  </si>
  <si>
    <t>Juan Cárcamo Barría</t>
  </si>
  <si>
    <t>Costeras Entre Punta Tentelhue y Rio Negro (Incluido)</t>
  </si>
  <si>
    <t>PC 1</t>
  </si>
  <si>
    <t>41°59'26,91''S</t>
  </si>
  <si>
    <t>72°40'14,85''W</t>
  </si>
  <si>
    <t>Puye/Truchita/Coltrao</t>
  </si>
  <si>
    <t>PESCA ELÉCTRICA</t>
  </si>
  <si>
    <t>Farionela listada</t>
  </si>
  <si>
    <t>PC 2</t>
  </si>
  <si>
    <t>41°59'28,51''S</t>
  </si>
  <si>
    <t>72°40'15,57''W</t>
  </si>
  <si>
    <t>PR1</t>
  </si>
  <si>
    <t>41°59'44,30''S</t>
  </si>
  <si>
    <t>72°40'06,08''W</t>
  </si>
  <si>
    <t>PR2</t>
  </si>
  <si>
    <t>41°59'44,70''S</t>
  </si>
  <si>
    <t>72°39'58,64''W</t>
  </si>
  <si>
    <t>PR3</t>
  </si>
  <si>
    <t>41°59'42,21''S</t>
  </si>
  <si>
    <t>72°39'55,77''W</t>
  </si>
  <si>
    <t>PR4</t>
  </si>
  <si>
    <t>41°59'39,84''S</t>
  </si>
  <si>
    <t>72°39'53,82''W</t>
  </si>
  <si>
    <t>PR5</t>
  </si>
  <si>
    <t>41°59'37,37''S</t>
  </si>
  <si>
    <t>72°39'50,52''W</t>
  </si>
  <si>
    <t>PR6</t>
  </si>
  <si>
    <t>41°59'38,97''S</t>
  </si>
  <si>
    <t>72°39'47,63''W</t>
  </si>
  <si>
    <t>PR7</t>
  </si>
  <si>
    <t>41°59'41,79''S</t>
  </si>
  <si>
    <t>72°39'47,79''W</t>
  </si>
  <si>
    <t>R. EX N°E-2021-117</t>
  </si>
  <si>
    <t>PHOTOSINTESIS</t>
  </si>
  <si>
    <t>CARACTERIZACIÓN LIMNOLÓGICA Y USO DE HÁBITATS RIBEREÑOS EN LOS LAGOS MEULLÍN, YULTON Y RÍO CUERVOS, REGIÓN DEL GRAL. CARLOS IBÁÑEZ DEL CAMPO</t>
  </si>
  <si>
    <t>Orcas SpA</t>
  </si>
  <si>
    <t>Costeras entre Punta San Andres y Río Aisén</t>
  </si>
  <si>
    <t>VERANO</t>
  </si>
  <si>
    <t>PYU1-I</t>
  </si>
  <si>
    <t>Pesca eléctrica y Espineles</t>
  </si>
  <si>
    <t>PYU2-I</t>
  </si>
  <si>
    <t>PYU4-I</t>
  </si>
  <si>
    <t>PYU5-I</t>
  </si>
  <si>
    <t>PYU7-I</t>
  </si>
  <si>
    <t>PYU3-L</t>
  </si>
  <si>
    <t>PYU5-L</t>
  </si>
  <si>
    <t>PYU6-L</t>
  </si>
  <si>
    <t>PYU7-L</t>
  </si>
  <si>
    <t>PYU8-L</t>
  </si>
  <si>
    <t>PYU9-L</t>
  </si>
  <si>
    <t>PYU10-P</t>
  </si>
  <si>
    <t>PYU12-P</t>
  </si>
  <si>
    <t>PME1-I</t>
  </si>
  <si>
    <t>PME3-I</t>
  </si>
  <si>
    <t>PME1-L</t>
  </si>
  <si>
    <t>PME3-L</t>
  </si>
  <si>
    <t>PME5-P</t>
  </si>
  <si>
    <t>RC1</t>
  </si>
  <si>
    <t>PYU6-I</t>
  </si>
  <si>
    <t>QT1</t>
  </si>
  <si>
    <t>PYU0-L</t>
  </si>
  <si>
    <t>PYU1-L</t>
  </si>
  <si>
    <t>PYU2-L</t>
  </si>
  <si>
    <t>PYU4-L</t>
  </si>
  <si>
    <t>QT1-L</t>
  </si>
  <si>
    <t>YU2</t>
  </si>
  <si>
    <t>YU13</t>
  </si>
  <si>
    <t>DYU1</t>
  </si>
  <si>
    <t>YU12</t>
  </si>
  <si>
    <t>DYU2</t>
  </si>
  <si>
    <t>DYU3</t>
  </si>
  <si>
    <t>MET2</t>
  </si>
  <si>
    <t>RMA2-L</t>
  </si>
  <si>
    <t>Río Aisén entre Río Riesco y Desembocadura</t>
  </si>
  <si>
    <t>T0</t>
  </si>
  <si>
    <t>T0-1</t>
  </si>
  <si>
    <t>T1</t>
  </si>
  <si>
    <t>T2</t>
  </si>
  <si>
    <t>T3</t>
  </si>
  <si>
    <t>R. EX N°E-2022-499</t>
  </si>
  <si>
    <t>BRIAN REID (CIEP)</t>
  </si>
  <si>
    <t>EFECTO DE SEDIMENTOS SUSPENDIDOS A LA ALIMENTACIÓN DE LOS PECES NATIVOS E INTRODUCIDOS, EN LA CUENCA DEL RÍO SIMPSON, REGIÓN DE AYSÉN</t>
  </si>
  <si>
    <t>Centro de Investigación de Ecosistemas de la Patagonia, CIEP</t>
  </si>
  <si>
    <t>Río Simpson</t>
  </si>
  <si>
    <t>7:00 - 12:00 HRS</t>
  </si>
  <si>
    <t>T1A</t>
  </si>
  <si>
    <t>pesca con caña (mosca y cuchara) y electro-pesca, donde este último se reguló con configuración variable de frecuencia (Hz</t>
  </si>
  <si>
    <t>trucha arcoíris</t>
  </si>
  <si>
    <t>T1B</t>
  </si>
  <si>
    <t>Hatcheria macrei</t>
  </si>
  <si>
    <t>T1C</t>
  </si>
  <si>
    <t>T2A</t>
  </si>
  <si>
    <t>Oncorhynchus tshawytscha</t>
  </si>
  <si>
    <t>T2B</t>
  </si>
  <si>
    <t>T9A</t>
  </si>
  <si>
    <t>T10A</t>
  </si>
  <si>
    <t>T10C</t>
  </si>
  <si>
    <t>T11C</t>
  </si>
  <si>
    <t>T12D</t>
  </si>
  <si>
    <t>T12B</t>
  </si>
  <si>
    <t>Grand Total</t>
  </si>
  <si>
    <t>Brian Reid</t>
  </si>
  <si>
    <t>Claudia Verdugo Castro (Ecosistema)</t>
  </si>
  <si>
    <t>Sealand Aquaculture S.A.</t>
  </si>
  <si>
    <t>Gaman Limno Studies Ltda.</t>
  </si>
  <si>
    <t>Ingenium Civil S.A</t>
  </si>
  <si>
    <t>Icnova Ing</t>
  </si>
  <si>
    <t>Icnova Ing Consultores</t>
  </si>
  <si>
    <t>Maring Eirl</t>
  </si>
  <si>
    <t>Martinez Ambiental Ltda</t>
  </si>
  <si>
    <t>Minera Invierno Sa</t>
  </si>
  <si>
    <t>Estudio Línea base de tipo limnológico del proyecto hidroeléctrico Chaica en el río Lenca, comuna de Puerto Montt, X Región.</t>
  </si>
  <si>
    <t>Caracterización ecosistemas acuáticos continentales asociados al proyecto modificación Piscicultura los Tilcos, Río Chico Región de Los Lagos.</t>
  </si>
  <si>
    <t>Evaluación limnológica-íctica, estero El Arco, Coyhaique, Región de Aysén.</t>
  </si>
  <si>
    <t>Efecto de sedimentos suspendidos a la alimentación de los peces nativos e introducidos, en la cuenca del río Simpson, región de Aysén.</t>
  </si>
  <si>
    <t>Línea base limnológica Río Trainel cercano a la Piscicultura Trainel, región de Los Lagos.</t>
  </si>
  <si>
    <t>Monitoreo limnológico proyecto refundición de RCA's Amplición y cambio operacional, río Petrohué, comuna de Puerto Varas, región de Los Lagos.</t>
  </si>
  <si>
    <t>Piscicultura de recirculación lago Balmaceda, Sealand Aquaculture S.A.; respuesta observación 1.2.8 ICSARA n°1 (064/2016).</t>
  </si>
  <si>
    <t>Caracterización de fauna íctica asociada al proyecto, piscicultura San Joaquín, sector El Varal, comuna de Hualaihué, X región de Los Lagos.</t>
  </si>
  <si>
    <t>Caracterización limnológica asociado al proyecto de riego Magallanes, embalse río Porvenir, XII region de Magallanes y la Antártica Chilena.</t>
  </si>
  <si>
    <t>Diagnostico hidrobiológico de laguna Escondida y laguna Barrosa - declaración de impacto ambiental almacenamiento de agua de interior Mina Javiera en laguna Salitrosa, comuna de Chile Chico, XII Región de Aysén.</t>
  </si>
  <si>
    <t>Plan de vigilancia ambiental, asociado al proyecto Mina Invierno, comuna de Río Verde, región de Magallanes y Antártica Chilena.</t>
  </si>
  <si>
    <t>Caracterización limnológica y uso de hábitats ribereños en los lagos Meullín, Yulton y Río cuervos, región del General Carlos Ibáñez del Campo.</t>
  </si>
  <si>
    <t xml:space="preserve">Centro de Investigación de Ecosistemas de la Patagonia. </t>
  </si>
  <si>
    <t>Compañía Minera Cerro Bayo Ltda.</t>
  </si>
  <si>
    <t>Piscicultura los Tilcos</t>
  </si>
  <si>
    <t>Las Orcas Spa. (Photosintesis)</t>
  </si>
  <si>
    <t>Fundación Kreen</t>
  </si>
  <si>
    <t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t>
  </si>
  <si>
    <t>Claudia Verdugo Castro (Ecosistema) (2016) Informe de resutados de pesca de investigación asociado al permiso SUBPESCA, R.EX N°3232/2016. Proyecto: Piscicultura de recirculación lago Balmaceda, Sealand Aquaculture S.A.; respuesta observación 1.2.8 ICSARA n°1 (064/2016). Mandante: Sealand Aquaculture S.A.</t>
  </si>
  <si>
    <t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t>
  </si>
  <si>
    <t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t>
  </si>
  <si>
    <t>Icnova Ing Consultores (2018) Informe de resutados de pesca de investigación asociado al permiso SUBPESCA, R. EX N°388/2018. Proyecto: Diagnostico hidrobiológico de laguna Escondida y laguna Barrosa - declaración de impacto ambiental almacenamiento de agua de interior Mina Javiera en laguna Salitrosa, comuna de Chile Chico, XII Región de Aysén. Mandante: Compañía Minera Cerro Bayo Ltda.</t>
  </si>
  <si>
    <t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t>
  </si>
  <si>
    <t>Claudia Verdugo Castro (2020) Informe de resutados de pesca de investigación asociado al permiso SUBPESCA, R. EX. N° E-2020-607 . Proyecto: Línea base limnológica Río Trainel cercano a la Piscicultura Trainel, región de Los Lagos. Mandante: Piscicultura Trainel.</t>
  </si>
  <si>
    <t>Icnova Ing (2018) Informe de resutados de pesca de investigación asociado al permiso SUBPESCA, R. EX N°838/2018. Proyecto: Caracterización limnológica asociado al proyecto de riego Magallanes, embalse río Porvenir, XII region de Magallanes y la Antártica Chilena. Mandante: Comisión Nacional de Riego.</t>
  </si>
  <si>
    <t>Jaime Illanes y Asociados Consultores S.A.  (2021) Informe de resutados de pesca de investigación asociado al permiso SUBPESCA, R. EX N°E-2021-074. Proyecto: Caracterización ecosistemas acuáticos continentales asociados al proyecto modificación Piscicultura los Tilcos, Río Chico Región de Los Lagos. Mandante: Piscicultura los Tilcos.</t>
  </si>
  <si>
    <t>Maring Eirl (2012) Informe de resutados de pesca de investigación asociado al permiso SUBPESCA, R.EX N°262/2012. Proyecto: Evaluación limnológica-íctica, estero El Arco, Coyhaique, Región de Aysén. Mandante: Garo S.A.</t>
  </si>
  <si>
    <t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t>
  </si>
  <si>
    <t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t>
  </si>
  <si>
    <t>Permiso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</si>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</sst>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20" fontId="2" fillId="2" borderId="5" xfId="0" applyNumberFormat="1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20" fontId="2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" fontId="2" fillId="2" borderId="0" xfId="0" applyNumberFormat="1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ristian  correa" refreshedDate="45099.45226111111" createdVersion="5" refreshedVersion="5" minRefreshableVersion="3" recordCount="234">
  <cacheSource type="worksheet">
    <worksheetSource ref="A1:D235" sheet="Original"/>
  </cacheSource>
  <cacheFields count="4">
    <cacheField name="N° DE RESOLUCIÓN SUBPESCA" numFmtId="0">
      <sharedItems count="12">
        <s v="R.EX N°262/2012"/>
        <s v="R.EX N°767/2014"/>
        <s v="R.EX N°3232/2016"/>
        <s v="R. EX N°388/2018"/>
        <s v="R. EX N°838/2018"/>
        <s v="R.EX N°1628/2019"/>
        <s v="R. EX N°65/2020"/>
        <s v="R. EX. N° E-2020-607 "/>
        <s v="R. EX N°E-2021-074"/>
        <s v="R. EX N°411-2017"/>
        <s v="R. EX N°E-2021-117"/>
        <s v="R. EX N°E-2022-499"/>
      </sharedItems>
    </cacheField>
    <cacheField name="EJECUTOR" numFmtId="0">
      <sharedItems count="11">
        <s v="Maring EIRL"/>
        <s v="GAMAN LIMNO STUDIES LTDA."/>
        <s v="CLAUDIA VERDUGO CASTRO (ECOSISTEMA)"/>
        <s v="ICNOVA ING CONSULTORES"/>
        <s v="ICNOVA ING"/>
        <s v="MARTINEZ AMBIENTAL LTDA"/>
        <s v="Claudia Verdugo Castro"/>
        <s v="Jaime Illanes y Asociados Consultores S.A. "/>
        <s v="Cultivos Marinos Lago Yelcho S.P.A."/>
        <s v="PHOTOSINTESIS"/>
        <s v="BRIAN REID (CIEP)"/>
      </sharedItems>
    </cacheField>
    <cacheField name="TITULO PROYECTO" numFmtId="0">
      <sharedItems count="12">
        <s v="Piscultura El Arco"/>
        <s v="CENTRAL HIDROELECTRICA CHAICA"/>
        <s v="PISCICULTURA DE RECIRCULACIÓN LAGO BALMACEDA, SEALAND AQUACULTURE S.A. RESPUESTA OBSERVACIÓN 1.2.8 ICSARA N°1 (064/2016)"/>
        <s v="Diagnostico Hidrobiológico de Laguna Escondida y Laguna Barrosa - Declaración de Impacto Ambiental Almacenamiento de Agua de Interior Mina Javiera en Laguna Salitrosa, Comuna de Chile Chico, XII Región de Aysén"/>
        <s v="Proyecto de riego Magallanes, embalse río Porvenir"/>
        <s v="MINA INVIERNO"/>
        <s v="Monitoreo Limnológico Proyecto Refundición de RCA's Amplición y Cambio Operacional, Río Petrohué, comuna de Puerto Varas, Región de Los Lagos"/>
        <s v="Línea base limnológica Río Trainel cercano a la Piscicultura Trainel, Región de Los Lagos"/>
        <s v="Caracterización ecosistemas acuáticos continentales asociados al proyecto modificación piscicultura los Tilcos, Río Chico región de los Lagos"/>
        <s v="CARACTERIZACIÓN DE FAUNA ÍCTICA ASOCIADA AL PROYECTO, PISCICULTURA SAN JOAQUÍN. RIO CISNES, HUALAIHUÉ ESTERO, COMUNA DE HUALAIHUÉ, PROVINCIA DE PALENA. REGIÓN DE LOS LAGOS."/>
        <s v="CARACTERIZACIÓN LIMNOLÓGICA Y USO DE HÁBITATS RIBEREÑOS EN LOS LAGOS MEULLÍN, YULTON Y RÍO CUERVOS, REGIÓN DEL GRAL. CARLOS IBÁÑEZ DEL CAMPO"/>
        <s v="EFECTO DE SEDIMENTOS SUSPENDIDOS A LA ALIMENTACIÓN DE LOS PECES NATIVOS E INTRODUCIDOS, EN LA CUENCA DEL RÍO SIMPSON, REGIÓN DE AYSÉN"/>
      </sharedItems>
    </cacheField>
    <cacheField name="MANDANTE O TITULAR" numFmtId="0">
      <sharedItems count="12">
        <s v="Garo S.A"/>
        <s v="INGENIUM CIVIL S.A"/>
        <s v="SEALAND AQUACULTURE S.A."/>
        <s v="Compañía Minera Cerro Bayo Ltda"/>
        <s v="Comisión Nacional de Riego"/>
        <s v="MINERA INVIERNO SA"/>
        <s v="Salmones Camanchaca S.A."/>
        <s v="Piscicultura Trainel"/>
        <s v="Jaime Illanes y Asociados Consultores S.A. "/>
        <s v="Juan Cárcamo Barría"/>
        <s v="Orcas SpA"/>
        <s v="Centro de Investigación de Ecosistemas de la Patagonia, CI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4">
  <r>
    <x v="0"/>
    <x v="0"/>
    <x v="0"/>
    <x v="0"/>
  </r>
  <r>
    <x v="0"/>
    <x v="0"/>
    <x v="0"/>
    <x v="0"/>
  </r>
  <r>
    <x v="0"/>
    <x v="0"/>
    <x v="0"/>
    <x v="0"/>
  </r>
  <r>
    <x v="0"/>
    <x v="0"/>
    <x v="0"/>
    <x v="0"/>
  </r>
  <r>
    <x v="0"/>
    <x v="0"/>
    <x v="0"/>
    <x v="0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1"/>
    <x v="1"/>
    <x v="1"/>
    <x v="1"/>
  </r>
  <r>
    <x v="2"/>
    <x v="2"/>
    <x v="2"/>
    <x v="2"/>
  </r>
  <r>
    <x v="3"/>
    <x v="3"/>
    <x v="3"/>
    <x v="3"/>
  </r>
  <r>
    <x v="3"/>
    <x v="3"/>
    <x v="3"/>
    <x v="3"/>
  </r>
  <r>
    <x v="4"/>
    <x v="4"/>
    <x v="4"/>
    <x v="4"/>
  </r>
  <r>
    <x v="4"/>
    <x v="4"/>
    <x v="4"/>
    <x v="4"/>
  </r>
  <r>
    <x v="4"/>
    <x v="4"/>
    <x v="4"/>
    <x v="4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5"/>
    <x v="5"/>
    <x v="5"/>
    <x v="5"/>
  </r>
  <r>
    <x v="6"/>
    <x v="6"/>
    <x v="6"/>
    <x v="6"/>
  </r>
  <r>
    <x v="6"/>
    <x v="6"/>
    <x v="6"/>
    <x v="6"/>
  </r>
  <r>
    <x v="6"/>
    <x v="6"/>
    <x v="6"/>
    <x v="6"/>
  </r>
  <r>
    <x v="6"/>
    <x v="6"/>
    <x v="6"/>
    <x v="6"/>
  </r>
  <r>
    <x v="6"/>
    <x v="6"/>
    <x v="6"/>
    <x v="6"/>
  </r>
  <r>
    <x v="6"/>
    <x v="6"/>
    <x v="6"/>
    <x v="6"/>
  </r>
  <r>
    <x v="6"/>
    <x v="6"/>
    <x v="6"/>
    <x v="6"/>
  </r>
  <r>
    <x v="6"/>
    <x v="6"/>
    <x v="6"/>
    <x v="6"/>
  </r>
  <r>
    <x v="6"/>
    <x v="6"/>
    <x v="6"/>
    <x v="6"/>
  </r>
  <r>
    <x v="7"/>
    <x v="6"/>
    <x v="7"/>
    <x v="7"/>
  </r>
  <r>
    <x v="7"/>
    <x v="6"/>
    <x v="7"/>
    <x v="7"/>
  </r>
  <r>
    <x v="7"/>
    <x v="6"/>
    <x v="7"/>
    <x v="7"/>
  </r>
  <r>
    <x v="7"/>
    <x v="6"/>
    <x v="7"/>
    <x v="7"/>
  </r>
  <r>
    <x v="8"/>
    <x v="7"/>
    <x v="8"/>
    <x v="8"/>
  </r>
  <r>
    <x v="8"/>
    <x v="7"/>
    <x v="8"/>
    <x v="8"/>
  </r>
  <r>
    <x v="8"/>
    <x v="7"/>
    <x v="8"/>
    <x v="8"/>
  </r>
  <r>
    <x v="8"/>
    <x v="7"/>
    <x v="8"/>
    <x v="8"/>
  </r>
  <r>
    <x v="8"/>
    <x v="7"/>
    <x v="8"/>
    <x v="8"/>
  </r>
  <r>
    <x v="8"/>
    <x v="7"/>
    <x v="8"/>
    <x v="8"/>
  </r>
  <r>
    <x v="8"/>
    <x v="7"/>
    <x v="8"/>
    <x v="8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9"/>
    <x v="8"/>
    <x v="9"/>
    <x v="9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0"/>
    <x v="9"/>
    <x v="10"/>
    <x v="10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  <r>
    <x v="11"/>
    <x v="10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5" minRefreshableVersion="3" showDrill="0" useAutoFormatting="1" itemPrintTitles="1" createdVersion="5" indent="0" compact="0" compactData="0" gridDropZones="1" multipleFieldFilters="0">
  <location ref="A3:J17" firstHeaderRow="2" firstDataRow="2" firstDataCol="4"/>
  <pivotFields count="4">
    <pivotField axis="axisRow" compact="0" outline="0" subtotalTop="0" showAll="0" defaultSubtotal="0">
      <items count="12">
        <item x="3"/>
        <item x="9"/>
        <item x="6"/>
        <item x="4"/>
        <item x="8"/>
        <item x="10"/>
        <item x="11"/>
        <item x="7"/>
        <item x="5"/>
        <item x="0"/>
        <item x="2"/>
        <item x="1"/>
      </items>
    </pivotField>
    <pivotField axis="axisRow" compact="0" outline="0" subtotalTop="0" showAll="0" defaultSubtotal="0">
      <items count="11">
        <item x="10"/>
        <item x="6"/>
        <item x="2"/>
        <item x="8"/>
        <item x="1"/>
        <item x="4"/>
        <item x="3"/>
        <item x="7"/>
        <item x="0"/>
        <item x="5"/>
        <item x="9"/>
      </items>
    </pivotField>
    <pivotField axis="axisRow" compact="0" outline="0" subtotalTop="0" showAll="0" defaultSubtotal="0">
      <items count="12">
        <item x="9"/>
        <item x="8"/>
        <item x="10"/>
        <item x="1"/>
        <item x="3"/>
        <item x="11"/>
        <item x="7"/>
        <item x="5"/>
        <item x="6"/>
        <item x="2"/>
        <item x="0"/>
        <item x="4"/>
      </items>
    </pivotField>
    <pivotField axis="axisRow" compact="0" outline="0" subtotalTop="0" showAll="0" defaultSubtotal="0">
      <items count="12">
        <item x="11"/>
        <item x="4"/>
        <item x="3"/>
        <item x="0"/>
        <item x="1"/>
        <item x="8"/>
        <item x="9"/>
        <item x="5"/>
        <item x="10"/>
        <item x="7"/>
        <item x="6"/>
        <item x="2"/>
      </items>
    </pivotField>
  </pivotFields>
  <rowFields count="4">
    <field x="1"/>
    <field x="2"/>
    <field x="3"/>
    <field x="0"/>
  </rowFields>
  <rowItems count="13">
    <i>
      <x/>
      <x v="5"/>
      <x/>
      <x v="6"/>
    </i>
    <i>
      <x v="1"/>
      <x v="6"/>
      <x v="9"/>
      <x v="7"/>
    </i>
    <i r="1">
      <x v="8"/>
      <x v="10"/>
      <x v="2"/>
    </i>
    <i>
      <x v="2"/>
      <x v="9"/>
      <x v="11"/>
      <x v="10"/>
    </i>
    <i>
      <x v="3"/>
      <x/>
      <x v="6"/>
      <x v="1"/>
    </i>
    <i>
      <x v="4"/>
      <x v="3"/>
      <x v="4"/>
      <x v="11"/>
    </i>
    <i>
      <x v="5"/>
      <x v="11"/>
      <x v="1"/>
      <x v="3"/>
    </i>
    <i>
      <x v="6"/>
      <x v="4"/>
      <x v="2"/>
      <x/>
    </i>
    <i>
      <x v="7"/>
      <x v="1"/>
      <x v="5"/>
      <x v="4"/>
    </i>
    <i>
      <x v="8"/>
      <x v="10"/>
      <x v="3"/>
      <x v="9"/>
    </i>
    <i>
      <x v="9"/>
      <x v="7"/>
      <x v="7"/>
      <x v="8"/>
    </i>
    <i>
      <x v="10"/>
      <x v="2"/>
      <x v="8"/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51"/>
  <sheetViews>
    <sheetView topLeftCell="A10" zoomScale="66" zoomScaleNormal="66" workbookViewId="0">
      <selection activeCell="B21" sqref="B21"/>
    </sheetView>
  </sheetViews>
  <sheetFormatPr defaultRowHeight="14.4" x14ac:dyDescent="0.3"/>
  <cols>
    <col min="1" max="1" width="58.109375" customWidth="1"/>
    <col min="2" max="2" width="26.33203125" customWidth="1"/>
    <col min="3" max="3" width="73.44140625" customWidth="1"/>
    <col min="4" max="4" width="21.6640625" customWidth="1"/>
    <col min="5" max="5" width="24.88671875" customWidth="1"/>
    <col min="6" max="6" width="21.6640625" customWidth="1"/>
    <col min="7" max="7" width="21" customWidth="1"/>
    <col min="8" max="8" width="22.109375" customWidth="1"/>
    <col min="9" max="9" width="24.21875" customWidth="1"/>
    <col min="10" max="10" width="19.109375" customWidth="1"/>
    <col min="11" max="11" width="18.33203125" customWidth="1"/>
    <col min="12" max="12" width="19.44140625" customWidth="1"/>
    <col min="13" max="13" width="18.33203125" customWidth="1"/>
    <col min="14" max="14" width="13.88671875" customWidth="1"/>
    <col min="15" max="15" width="29.5546875" customWidth="1"/>
    <col min="16" max="16" width="27" customWidth="1"/>
    <col min="17" max="17" width="31.77734375" customWidth="1"/>
    <col min="18" max="18" width="21" customWidth="1"/>
    <col min="19" max="19" width="18.77734375" customWidth="1"/>
    <col min="20" max="20" width="24.21875" customWidth="1"/>
    <col min="21" max="21" width="28.5546875" customWidth="1"/>
    <col min="22" max="22" width="32.6640625" customWidth="1"/>
    <col min="23" max="23" width="37.33203125" bestFit="1" customWidth="1"/>
    <col min="24" max="24" width="36.77734375" customWidth="1"/>
    <col min="25" max="25" width="41.33203125" customWidth="1"/>
    <col min="26" max="26" width="13.88671875" customWidth="1"/>
    <col min="27" max="27" width="37.33203125" bestFit="1" customWidth="1"/>
    <col min="28" max="28" width="169" bestFit="1" customWidth="1"/>
    <col min="29" max="29" width="162.6640625" bestFit="1" customWidth="1"/>
    <col min="30" max="30" width="41.33203125" bestFit="1" customWidth="1"/>
    <col min="31" max="31" width="167.33203125" bestFit="1" customWidth="1"/>
    <col min="32" max="32" width="22.109375" bestFit="1" customWidth="1"/>
    <col min="33" max="33" width="16.77734375" bestFit="1" customWidth="1"/>
    <col min="34" max="34" width="26.88671875" bestFit="1" customWidth="1"/>
    <col min="35" max="35" width="58" bestFit="1" customWidth="1"/>
    <col min="36" max="36" width="37.109375" bestFit="1" customWidth="1"/>
    <col min="37" max="37" width="62.5546875" bestFit="1" customWidth="1"/>
    <col min="38" max="38" width="13.88671875" bestFit="1" customWidth="1"/>
  </cols>
  <sheetData>
    <row r="4" spans="1:4" x14ac:dyDescent="0.3">
      <c r="A4" s="29" t="s">
        <v>1</v>
      </c>
      <c r="B4" s="29" t="s">
        <v>2</v>
      </c>
      <c r="C4" s="29" t="s">
        <v>3</v>
      </c>
      <c r="D4" s="29" t="s">
        <v>0</v>
      </c>
    </row>
    <row r="5" spans="1:4" x14ac:dyDescent="0.3">
      <c r="A5" t="s">
        <v>273</v>
      </c>
      <c r="B5" t="s">
        <v>274</v>
      </c>
      <c r="C5" t="s">
        <v>275</v>
      </c>
      <c r="D5" t="s">
        <v>272</v>
      </c>
    </row>
    <row r="6" spans="1:4" x14ac:dyDescent="0.3">
      <c r="A6" t="s">
        <v>142</v>
      </c>
      <c r="B6" t="s">
        <v>160</v>
      </c>
      <c r="C6" t="s">
        <v>161</v>
      </c>
      <c r="D6" t="s">
        <v>158</v>
      </c>
    </row>
    <row r="7" spans="1:4" x14ac:dyDescent="0.3">
      <c r="B7" t="s">
        <v>143</v>
      </c>
      <c r="C7" t="s">
        <v>144</v>
      </c>
      <c r="D7" t="s">
        <v>141</v>
      </c>
    </row>
    <row r="8" spans="1:4" x14ac:dyDescent="0.3">
      <c r="A8" t="s">
        <v>81</v>
      </c>
      <c r="B8" t="s">
        <v>82</v>
      </c>
      <c r="C8" t="s">
        <v>83</v>
      </c>
      <c r="D8" t="s">
        <v>80</v>
      </c>
    </row>
    <row r="9" spans="1:4" x14ac:dyDescent="0.3">
      <c r="A9" t="s">
        <v>191</v>
      </c>
      <c r="B9" t="s">
        <v>192</v>
      </c>
      <c r="C9" t="s">
        <v>193</v>
      </c>
      <c r="D9" t="s">
        <v>190</v>
      </c>
    </row>
    <row r="10" spans="1:4" x14ac:dyDescent="0.3">
      <c r="A10" t="s">
        <v>48</v>
      </c>
      <c r="B10" t="s">
        <v>49</v>
      </c>
      <c r="C10" t="s">
        <v>50</v>
      </c>
      <c r="D10" t="s">
        <v>47</v>
      </c>
    </row>
    <row r="11" spans="1:4" x14ac:dyDescent="0.3">
      <c r="A11" t="s">
        <v>108</v>
      </c>
      <c r="B11" t="s">
        <v>109</v>
      </c>
      <c r="C11" t="s">
        <v>110</v>
      </c>
      <c r="D11" t="s">
        <v>107</v>
      </c>
    </row>
    <row r="12" spans="1:4" x14ac:dyDescent="0.3">
      <c r="A12" t="s">
        <v>89</v>
      </c>
      <c r="B12" t="s">
        <v>90</v>
      </c>
      <c r="C12" t="s">
        <v>91</v>
      </c>
      <c r="D12" t="s">
        <v>88</v>
      </c>
    </row>
    <row r="13" spans="1:4" x14ac:dyDescent="0.3">
      <c r="A13" t="s">
        <v>171</v>
      </c>
      <c r="B13" t="s">
        <v>172</v>
      </c>
      <c r="C13" t="s">
        <v>171</v>
      </c>
      <c r="D13" t="s">
        <v>170</v>
      </c>
    </row>
    <row r="14" spans="1:4" x14ac:dyDescent="0.3">
      <c r="A14" t="s">
        <v>32</v>
      </c>
      <c r="B14" t="s">
        <v>33</v>
      </c>
      <c r="C14" t="s">
        <v>34</v>
      </c>
      <c r="D14" t="s">
        <v>31</v>
      </c>
    </row>
    <row r="15" spans="1:4" x14ac:dyDescent="0.3">
      <c r="A15" t="s">
        <v>120</v>
      </c>
      <c r="B15" t="s">
        <v>121</v>
      </c>
      <c r="C15" t="s">
        <v>122</v>
      </c>
      <c r="D15" t="s">
        <v>119</v>
      </c>
    </row>
    <row r="16" spans="1:4" x14ac:dyDescent="0.3">
      <c r="A16" t="s">
        <v>226</v>
      </c>
      <c r="B16" t="s">
        <v>227</v>
      </c>
      <c r="C16" t="s">
        <v>228</v>
      </c>
      <c r="D16" t="s">
        <v>225</v>
      </c>
    </row>
    <row r="17" spans="1:5" x14ac:dyDescent="0.3">
      <c r="A17" t="s">
        <v>293</v>
      </c>
    </row>
    <row r="22" spans="1:5" x14ac:dyDescent="0.3">
      <c r="D22" t="s">
        <v>333</v>
      </c>
      <c r="E22" t="s">
        <v>334</v>
      </c>
    </row>
    <row r="23" spans="1:5" x14ac:dyDescent="0.3">
      <c r="A23" t="s">
        <v>294</v>
      </c>
      <c r="B23" t="s">
        <v>274</v>
      </c>
      <c r="C23" t="s">
        <v>275</v>
      </c>
      <c r="D23" t="s">
        <v>272</v>
      </c>
      <c r="E23" t="s">
        <v>326</v>
      </c>
    </row>
    <row r="24" spans="1:5" x14ac:dyDescent="0.3">
      <c r="A24" t="s">
        <v>142</v>
      </c>
      <c r="B24" t="s">
        <v>160</v>
      </c>
      <c r="C24" t="s">
        <v>161</v>
      </c>
      <c r="D24" t="s">
        <v>158</v>
      </c>
      <c r="E24" t="s">
        <v>327</v>
      </c>
    </row>
    <row r="25" spans="1:5" x14ac:dyDescent="0.3">
      <c r="B25" t="s">
        <v>143</v>
      </c>
      <c r="C25" t="s">
        <v>144</v>
      </c>
      <c r="D25" t="s">
        <v>141</v>
      </c>
      <c r="E25" t="s">
        <v>321</v>
      </c>
    </row>
    <row r="26" spans="1:5" x14ac:dyDescent="0.3">
      <c r="A26" t="s">
        <v>81</v>
      </c>
      <c r="B26" t="s">
        <v>82</v>
      </c>
      <c r="C26" t="s">
        <v>83</v>
      </c>
      <c r="D26" t="s">
        <v>80</v>
      </c>
      <c r="E26" t="s">
        <v>322</v>
      </c>
    </row>
    <row r="27" spans="1:5" x14ac:dyDescent="0.3">
      <c r="A27" t="s">
        <v>191</v>
      </c>
      <c r="B27" t="s">
        <v>192</v>
      </c>
      <c r="C27" t="s">
        <v>193</v>
      </c>
      <c r="D27" t="s">
        <v>190</v>
      </c>
      <c r="E27" t="s">
        <v>323</v>
      </c>
    </row>
    <row r="28" spans="1:5" x14ac:dyDescent="0.3">
      <c r="A28" t="s">
        <v>48</v>
      </c>
      <c r="B28" t="s">
        <v>49</v>
      </c>
      <c r="C28" t="s">
        <v>50</v>
      </c>
      <c r="D28" t="s">
        <v>47</v>
      </c>
      <c r="E28" t="s">
        <v>324</v>
      </c>
    </row>
    <row r="29" spans="1:5" x14ac:dyDescent="0.3">
      <c r="A29" t="s">
        <v>108</v>
      </c>
      <c r="B29" t="s">
        <v>109</v>
      </c>
      <c r="C29" t="s">
        <v>110</v>
      </c>
      <c r="D29" t="s">
        <v>107</v>
      </c>
      <c r="E29" t="s">
        <v>328</v>
      </c>
    </row>
    <row r="30" spans="1:5" x14ac:dyDescent="0.3">
      <c r="A30" t="s">
        <v>89</v>
      </c>
      <c r="B30" t="s">
        <v>90</v>
      </c>
      <c r="C30" t="s">
        <v>91</v>
      </c>
      <c r="D30" t="s">
        <v>88</v>
      </c>
      <c r="E30" t="s">
        <v>325</v>
      </c>
    </row>
    <row r="31" spans="1:5" x14ac:dyDescent="0.3">
      <c r="A31" t="s">
        <v>171</v>
      </c>
      <c r="B31" t="s">
        <v>172</v>
      </c>
      <c r="C31" t="s">
        <v>171</v>
      </c>
      <c r="D31" t="s">
        <v>170</v>
      </c>
      <c r="E31" t="s">
        <v>329</v>
      </c>
    </row>
    <row r="32" spans="1:5" x14ac:dyDescent="0.3">
      <c r="A32" t="s">
        <v>32</v>
      </c>
      <c r="B32" t="s">
        <v>33</v>
      </c>
      <c r="C32" t="s">
        <v>34</v>
      </c>
      <c r="D32" t="s">
        <v>31</v>
      </c>
      <c r="E32" t="s">
        <v>330</v>
      </c>
    </row>
    <row r="33" spans="1:8" x14ac:dyDescent="0.3">
      <c r="A33" t="s">
        <v>120</v>
      </c>
      <c r="B33" t="s">
        <v>121</v>
      </c>
      <c r="C33" t="s">
        <v>122</v>
      </c>
      <c r="D33" t="s">
        <v>119</v>
      </c>
      <c r="E33" t="s">
        <v>331</v>
      </c>
    </row>
    <row r="34" spans="1:8" x14ac:dyDescent="0.3">
      <c r="A34" t="s">
        <v>226</v>
      </c>
      <c r="B34" t="s">
        <v>227</v>
      </c>
      <c r="C34" t="s">
        <v>228</v>
      </c>
      <c r="D34" t="s">
        <v>225</v>
      </c>
      <c r="E34" t="s">
        <v>332</v>
      </c>
    </row>
    <row r="38" spans="1:8" x14ac:dyDescent="0.3">
      <c r="A38" t="s">
        <v>294</v>
      </c>
      <c r="B38">
        <v>2022</v>
      </c>
      <c r="C38" t="s">
        <v>307</v>
      </c>
      <c r="D38" t="s">
        <v>316</v>
      </c>
      <c r="E38" t="s">
        <v>272</v>
      </c>
      <c r="F38" t="str">
        <f>CONCATENATE("Informe de resutados de pesca de investigación asociado al permiso SUBPESCA, ",E38,".")</f>
        <v>Informe de resutados de pesca de investigación asociado al permiso SUBPESCA, R. EX N°E-2022-499.</v>
      </c>
      <c r="G38" t="str">
        <f>CONCATENATE(A38," (",B38,") ",F38," Proyecto: ",C38," Mandante: ",D38)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Mandante: Centro de Investigación de Ecosistemas de la Patagonia. </v>
      </c>
      <c r="H38" t="s">
        <v>326</v>
      </c>
    </row>
    <row r="39" spans="1:8" x14ac:dyDescent="0.3">
      <c r="A39" t="s">
        <v>142</v>
      </c>
      <c r="B39">
        <v>2020</v>
      </c>
      <c r="C39" t="s">
        <v>308</v>
      </c>
      <c r="D39" t="s">
        <v>161</v>
      </c>
      <c r="E39" t="s">
        <v>158</v>
      </c>
      <c r="F39" t="str">
        <f t="shared" ref="F39:F49" si="0">CONCATENATE("Informe de resutados de pesca de investigación asociado al permiso SUBPESCA, ",E39,".")</f>
        <v>Informe de resutados de pesca de investigación asociado al permiso SUBPESCA, R. EX. N° E-2020-607 .</v>
      </c>
      <c r="G39" t="str">
        <f t="shared" ref="G39:G49" si="1">CONCATENATE(A39," (",B39,") ",F39," Proyecto: ",C39," Mandante: ",D39)</f>
        <v>Claudia Verdugo Castro (2020) Informe de resutados de pesca de investigación asociado al permiso SUBPESCA, R. EX. N° E-2020-607 . Proyecto: Línea base limnológica Río Trainel cercano a la Piscicultura Trainel, región de Los Lagos. Mandante: Piscicultura Trainel</v>
      </c>
      <c r="H39" t="s">
        <v>327</v>
      </c>
    </row>
    <row r="40" spans="1:8" ht="15.6" x14ac:dyDescent="0.3">
      <c r="A40" s="31" t="s">
        <v>142</v>
      </c>
      <c r="B40">
        <v>2020</v>
      </c>
      <c r="C40" t="s">
        <v>309</v>
      </c>
      <c r="D40" t="s">
        <v>144</v>
      </c>
      <c r="E40" t="s">
        <v>141</v>
      </c>
      <c r="F40" t="str">
        <f t="shared" si="0"/>
        <v>Informe de resutados de pesca de investigación asociado al permiso SUBPESCA, R. EX N°65/2020.</v>
      </c>
      <c r="G40" t="str">
        <f t="shared" si="1"/>
        <v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v>
      </c>
      <c r="H40" t="s">
        <v>321</v>
      </c>
    </row>
    <row r="41" spans="1:8" x14ac:dyDescent="0.3">
      <c r="A41" t="s">
        <v>295</v>
      </c>
      <c r="B41">
        <v>2016</v>
      </c>
      <c r="C41" t="s">
        <v>310</v>
      </c>
      <c r="D41" t="s">
        <v>296</v>
      </c>
      <c r="E41" t="s">
        <v>80</v>
      </c>
      <c r="F41" t="str">
        <f t="shared" si="0"/>
        <v>Informe de resutados de pesca de investigación asociado al permiso SUBPESCA, R.EX N°3232/2016.</v>
      </c>
      <c r="G41" t="str">
        <f t="shared" si="1"/>
        <v>Claudia Verdugo Castro (Ecosistema) (2016) Informe de resutados de pesca de investigación asociado al permiso SUBPESCA, R.EX N°3232/2016. Proyecto: Piscicultura de recirculación lago Balmaceda, Sealand Aquaculture S.A.; respuesta observación 1.2.8 ICSARA n°1 (064/2016). Mandante: Sealand Aquaculture S.A.</v>
      </c>
      <c r="H41" t="s">
        <v>322</v>
      </c>
    </row>
    <row r="42" spans="1:8" x14ac:dyDescent="0.3">
      <c r="A42" t="s">
        <v>193</v>
      </c>
      <c r="B42">
        <v>2017</v>
      </c>
      <c r="C42" t="s">
        <v>311</v>
      </c>
      <c r="D42" t="s">
        <v>191</v>
      </c>
      <c r="E42" t="s">
        <v>190</v>
      </c>
      <c r="F42" t="str">
        <f t="shared" si="0"/>
        <v>Informe de resutados de pesca de investigación asociado al permiso SUBPESCA, R. EX N°411-2017.</v>
      </c>
      <c r="G42" t="str">
        <f t="shared" si="1"/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H42" t="s">
        <v>323</v>
      </c>
    </row>
    <row r="43" spans="1:8" x14ac:dyDescent="0.3">
      <c r="A43" t="s">
        <v>297</v>
      </c>
      <c r="B43">
        <v>2014</v>
      </c>
      <c r="C43" t="s">
        <v>304</v>
      </c>
      <c r="D43" t="s">
        <v>298</v>
      </c>
      <c r="E43" t="s">
        <v>47</v>
      </c>
      <c r="F43" t="str">
        <f t="shared" si="0"/>
        <v>Informe de resutados de pesca de investigación asociado al permiso SUBPESCA, R.EX N°767/2014.</v>
      </c>
      <c r="G43" t="str">
        <f t="shared" si="1"/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H43" t="s">
        <v>324</v>
      </c>
    </row>
    <row r="44" spans="1:8" x14ac:dyDescent="0.3">
      <c r="A44" t="s">
        <v>299</v>
      </c>
      <c r="B44">
        <v>2018</v>
      </c>
      <c r="C44" t="s">
        <v>312</v>
      </c>
      <c r="D44" t="s">
        <v>110</v>
      </c>
      <c r="E44" t="s">
        <v>107</v>
      </c>
      <c r="F44" t="str">
        <f t="shared" si="0"/>
        <v>Informe de resutados de pesca de investigación asociado al permiso SUBPESCA, R. EX N°838/2018.</v>
      </c>
      <c r="G44" t="str">
        <f t="shared" si="1"/>
        <v>Icnova Ing (2018) Informe de resutados de pesca de investigación asociado al permiso SUBPESCA, R. EX N°838/2018. Proyecto: Caracterización limnológica asociado al proyecto de riego Magallanes, embalse río Porvenir, XII region de Magallanes y la Antártica Chilena. Mandante: Comisión Nacional de Riego</v>
      </c>
      <c r="H44" t="s">
        <v>328</v>
      </c>
    </row>
    <row r="45" spans="1:8" x14ac:dyDescent="0.3">
      <c r="A45" t="s">
        <v>300</v>
      </c>
      <c r="B45">
        <v>2018</v>
      </c>
      <c r="C45" t="s">
        <v>313</v>
      </c>
      <c r="D45" t="s">
        <v>317</v>
      </c>
      <c r="E45" t="s">
        <v>88</v>
      </c>
      <c r="F45" t="str">
        <f t="shared" si="0"/>
        <v>Informe de resutados de pesca de investigación asociado al permiso SUBPESCA, R. EX N°388/2018.</v>
      </c>
      <c r="G45" t="str">
        <f t="shared" si="1"/>
        <v>Icnova Ing Consultores (2018) Informe de resutados de pesca de investigación asociado al permiso SUBPESCA, R. EX N°388/2018. Proyecto: Diagnostico hidrobiológico de laguna Escondida y laguna Barrosa - declaración de impacto ambiental almacenamiento de agua de interior Mina Javiera en laguna Salitrosa, comuna de Chile Chico, XII Región de Aysén. Mandante: Compañía Minera Cerro Bayo Ltda.</v>
      </c>
      <c r="H45" t="s">
        <v>325</v>
      </c>
    </row>
    <row r="46" spans="1:8" x14ac:dyDescent="0.3">
      <c r="A46" t="s">
        <v>171</v>
      </c>
      <c r="B46">
        <v>2021</v>
      </c>
      <c r="C46" t="s">
        <v>305</v>
      </c>
      <c r="D46" t="s">
        <v>318</v>
      </c>
      <c r="E46" t="s">
        <v>170</v>
      </c>
      <c r="F46" t="str">
        <f t="shared" si="0"/>
        <v>Informe de resutados de pesca de investigación asociado al permiso SUBPESCA, R. EX N°E-2021-074.</v>
      </c>
      <c r="G46" t="str">
        <f t="shared" si="1"/>
        <v>Jaime Illanes y Asociados Consultores S.A.  (2021) Informe de resutados de pesca de investigación asociado al permiso SUBPESCA, R. EX N°E-2021-074. Proyecto: Caracterización ecosistemas acuáticos continentales asociados al proyecto modificación Piscicultura los Tilcos, Río Chico Región de Los Lagos. Mandante: Piscicultura los Tilcos</v>
      </c>
      <c r="H46" t="s">
        <v>329</v>
      </c>
    </row>
    <row r="47" spans="1:8" x14ac:dyDescent="0.3">
      <c r="A47" t="s">
        <v>301</v>
      </c>
      <c r="B47">
        <v>2012</v>
      </c>
      <c r="C47" t="s">
        <v>306</v>
      </c>
      <c r="D47" t="s">
        <v>34</v>
      </c>
      <c r="E47" t="s">
        <v>31</v>
      </c>
      <c r="F47" t="str">
        <f t="shared" si="0"/>
        <v>Informe de resutados de pesca de investigación asociado al permiso SUBPESCA, R.EX N°262/2012.</v>
      </c>
      <c r="G47" t="str">
        <f t="shared" si="1"/>
        <v>Maring Eirl (2012) Informe de resutados de pesca de investigación asociado al permiso SUBPESCA, R.EX N°262/2012. Proyecto: Evaluación limnológica-íctica, estero El Arco, Coyhaique, Región de Aysén. Mandante: Garo S.A</v>
      </c>
      <c r="H47" t="s">
        <v>330</v>
      </c>
    </row>
    <row r="48" spans="1:8" ht="28.8" x14ac:dyDescent="0.3">
      <c r="A48" t="s">
        <v>302</v>
      </c>
      <c r="B48">
        <v>2019</v>
      </c>
      <c r="C48" s="30" t="s">
        <v>314</v>
      </c>
      <c r="D48" t="s">
        <v>303</v>
      </c>
      <c r="E48" t="s">
        <v>119</v>
      </c>
      <c r="F48" t="str">
        <f t="shared" si="0"/>
        <v>Informe de resutados de pesca de investigación asociado al permiso SUBPESCA, R.EX N°1628/2019.</v>
      </c>
      <c r="G48" t="str">
        <f t="shared" si="1"/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</v>
      </c>
      <c r="H48" t="s">
        <v>331</v>
      </c>
    </row>
    <row r="49" spans="1:8" x14ac:dyDescent="0.3">
      <c r="A49" t="s">
        <v>319</v>
      </c>
      <c r="B49">
        <v>2021</v>
      </c>
      <c r="C49" t="s">
        <v>315</v>
      </c>
      <c r="D49" t="s">
        <v>320</v>
      </c>
      <c r="E49" t="s">
        <v>225</v>
      </c>
      <c r="F49" t="str">
        <f t="shared" si="0"/>
        <v>Informe de resutados de pesca de investigación asociado al permiso SUBPESCA, R. EX N°E-2021-117.</v>
      </c>
      <c r="G49" t="str">
        <f t="shared" si="1"/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</v>
      </c>
      <c r="H49" t="s">
        <v>332</v>
      </c>
    </row>
    <row r="50" spans="1:8" x14ac:dyDescent="0.3">
      <c r="B50" t="str">
        <f t="shared" ref="B39:B50" si="2">LOWER( B35 )</f>
        <v/>
      </c>
      <c r="C50" t="str">
        <f t="shared" ref="C39:C51" si="3">PROPER(C35)</f>
        <v/>
      </c>
    </row>
    <row r="51" spans="1:8" x14ac:dyDescent="0.3">
      <c r="C51" t="str">
        <f t="shared" si="3"/>
        <v/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5"/>
  <sheetViews>
    <sheetView tabSelected="1" workbookViewId="0">
      <selection activeCell="E2" sqref="E2"/>
    </sheetView>
  </sheetViews>
  <sheetFormatPr defaultColWidth="11.5546875" defaultRowHeight="14.4" x14ac:dyDescent="0.3"/>
  <cols>
    <col min="1" max="4" width="11.5546875" style="13"/>
    <col min="5" max="5" width="64.21875" style="13" customWidth="1"/>
    <col min="6" max="11" width="11.5546875" style="13"/>
    <col min="12" max="12" width="12.77734375" style="16" bestFit="1" customWidth="1"/>
    <col min="13" max="13" width="13.33203125" style="16" bestFit="1" customWidth="1"/>
    <col min="14" max="16" width="11.5546875" style="13"/>
    <col min="17" max="17" width="11.5546875" style="17"/>
    <col min="18" max="18" width="11.5546875" style="13"/>
    <col min="19" max="19" width="11.5546875" style="17"/>
    <col min="20" max="267" width="11.5546875" style="13"/>
    <col min="268" max="268" width="12.77734375" style="13" bestFit="1" customWidth="1"/>
    <col min="269" max="269" width="13.33203125" style="13" bestFit="1" customWidth="1"/>
    <col min="270" max="523" width="11.5546875" style="13"/>
    <col min="524" max="524" width="12.77734375" style="13" bestFit="1" customWidth="1"/>
    <col min="525" max="525" width="13.33203125" style="13" bestFit="1" customWidth="1"/>
    <col min="526" max="779" width="11.5546875" style="13"/>
    <col min="780" max="780" width="12.77734375" style="13" bestFit="1" customWidth="1"/>
    <col min="781" max="781" width="13.33203125" style="13" bestFit="1" customWidth="1"/>
    <col min="782" max="1035" width="11.5546875" style="13"/>
    <col min="1036" max="1036" width="12.77734375" style="13" bestFit="1" customWidth="1"/>
    <col min="1037" max="1037" width="13.33203125" style="13" bestFit="1" customWidth="1"/>
    <col min="1038" max="1291" width="11.5546875" style="13"/>
    <col min="1292" max="1292" width="12.77734375" style="13" bestFit="1" customWidth="1"/>
    <col min="1293" max="1293" width="13.33203125" style="13" bestFit="1" customWidth="1"/>
    <col min="1294" max="1547" width="11.5546875" style="13"/>
    <col min="1548" max="1548" width="12.77734375" style="13" bestFit="1" customWidth="1"/>
    <col min="1549" max="1549" width="13.33203125" style="13" bestFit="1" customWidth="1"/>
    <col min="1550" max="1803" width="11.5546875" style="13"/>
    <col min="1804" max="1804" width="12.77734375" style="13" bestFit="1" customWidth="1"/>
    <col min="1805" max="1805" width="13.33203125" style="13" bestFit="1" customWidth="1"/>
    <col min="1806" max="2059" width="11.5546875" style="13"/>
    <col min="2060" max="2060" width="12.77734375" style="13" bestFit="1" customWidth="1"/>
    <col min="2061" max="2061" width="13.33203125" style="13" bestFit="1" customWidth="1"/>
    <col min="2062" max="2315" width="11.5546875" style="13"/>
    <col min="2316" max="2316" width="12.77734375" style="13" bestFit="1" customWidth="1"/>
    <col min="2317" max="2317" width="13.33203125" style="13" bestFit="1" customWidth="1"/>
    <col min="2318" max="2571" width="11.5546875" style="13"/>
    <col min="2572" max="2572" width="12.77734375" style="13" bestFit="1" customWidth="1"/>
    <col min="2573" max="2573" width="13.33203125" style="13" bestFit="1" customWidth="1"/>
    <col min="2574" max="2827" width="11.5546875" style="13"/>
    <col min="2828" max="2828" width="12.77734375" style="13" bestFit="1" customWidth="1"/>
    <col min="2829" max="2829" width="13.33203125" style="13" bestFit="1" customWidth="1"/>
    <col min="2830" max="3083" width="11.5546875" style="13"/>
    <col min="3084" max="3084" width="12.77734375" style="13" bestFit="1" customWidth="1"/>
    <col min="3085" max="3085" width="13.33203125" style="13" bestFit="1" customWidth="1"/>
    <col min="3086" max="3339" width="11.5546875" style="13"/>
    <col min="3340" max="3340" width="12.77734375" style="13" bestFit="1" customWidth="1"/>
    <col min="3341" max="3341" width="13.33203125" style="13" bestFit="1" customWidth="1"/>
    <col min="3342" max="3595" width="11.5546875" style="13"/>
    <col min="3596" max="3596" width="12.77734375" style="13" bestFit="1" customWidth="1"/>
    <col min="3597" max="3597" width="13.33203125" style="13" bestFit="1" customWidth="1"/>
    <col min="3598" max="3851" width="11.5546875" style="13"/>
    <col min="3852" max="3852" width="12.77734375" style="13" bestFit="1" customWidth="1"/>
    <col min="3853" max="3853" width="13.33203125" style="13" bestFit="1" customWidth="1"/>
    <col min="3854" max="4107" width="11.5546875" style="13"/>
    <col min="4108" max="4108" width="12.77734375" style="13" bestFit="1" customWidth="1"/>
    <col min="4109" max="4109" width="13.33203125" style="13" bestFit="1" customWidth="1"/>
    <col min="4110" max="4363" width="11.5546875" style="13"/>
    <col min="4364" max="4364" width="12.77734375" style="13" bestFit="1" customWidth="1"/>
    <col min="4365" max="4365" width="13.33203125" style="13" bestFit="1" customWidth="1"/>
    <col min="4366" max="4619" width="11.5546875" style="13"/>
    <col min="4620" max="4620" width="12.77734375" style="13" bestFit="1" customWidth="1"/>
    <col min="4621" max="4621" width="13.33203125" style="13" bestFit="1" customWidth="1"/>
    <col min="4622" max="4875" width="11.5546875" style="13"/>
    <col min="4876" max="4876" width="12.77734375" style="13" bestFit="1" customWidth="1"/>
    <col min="4877" max="4877" width="13.33203125" style="13" bestFit="1" customWidth="1"/>
    <col min="4878" max="5131" width="11.5546875" style="13"/>
    <col min="5132" max="5132" width="12.77734375" style="13" bestFit="1" customWidth="1"/>
    <col min="5133" max="5133" width="13.33203125" style="13" bestFit="1" customWidth="1"/>
    <col min="5134" max="5387" width="11.5546875" style="13"/>
    <col min="5388" max="5388" width="12.77734375" style="13" bestFit="1" customWidth="1"/>
    <col min="5389" max="5389" width="13.33203125" style="13" bestFit="1" customWidth="1"/>
    <col min="5390" max="5643" width="11.5546875" style="13"/>
    <col min="5644" max="5644" width="12.77734375" style="13" bestFit="1" customWidth="1"/>
    <col min="5645" max="5645" width="13.33203125" style="13" bestFit="1" customWidth="1"/>
    <col min="5646" max="5899" width="11.5546875" style="13"/>
    <col min="5900" max="5900" width="12.77734375" style="13" bestFit="1" customWidth="1"/>
    <col min="5901" max="5901" width="13.33203125" style="13" bestFit="1" customWidth="1"/>
    <col min="5902" max="6155" width="11.5546875" style="13"/>
    <col min="6156" max="6156" width="12.77734375" style="13" bestFit="1" customWidth="1"/>
    <col min="6157" max="6157" width="13.33203125" style="13" bestFit="1" customWidth="1"/>
    <col min="6158" max="6411" width="11.5546875" style="13"/>
    <col min="6412" max="6412" width="12.77734375" style="13" bestFit="1" customWidth="1"/>
    <col min="6413" max="6413" width="13.33203125" style="13" bestFit="1" customWidth="1"/>
    <col min="6414" max="6667" width="11.5546875" style="13"/>
    <col min="6668" max="6668" width="12.77734375" style="13" bestFit="1" customWidth="1"/>
    <col min="6669" max="6669" width="13.33203125" style="13" bestFit="1" customWidth="1"/>
    <col min="6670" max="6923" width="11.5546875" style="13"/>
    <col min="6924" max="6924" width="12.77734375" style="13" bestFit="1" customWidth="1"/>
    <col min="6925" max="6925" width="13.33203125" style="13" bestFit="1" customWidth="1"/>
    <col min="6926" max="7179" width="11.5546875" style="13"/>
    <col min="7180" max="7180" width="12.77734375" style="13" bestFit="1" customWidth="1"/>
    <col min="7181" max="7181" width="13.33203125" style="13" bestFit="1" customWidth="1"/>
    <col min="7182" max="7435" width="11.5546875" style="13"/>
    <col min="7436" max="7436" width="12.77734375" style="13" bestFit="1" customWidth="1"/>
    <col min="7437" max="7437" width="13.33203125" style="13" bestFit="1" customWidth="1"/>
    <col min="7438" max="7691" width="11.5546875" style="13"/>
    <col min="7692" max="7692" width="12.77734375" style="13" bestFit="1" customWidth="1"/>
    <col min="7693" max="7693" width="13.33203125" style="13" bestFit="1" customWidth="1"/>
    <col min="7694" max="7947" width="11.5546875" style="13"/>
    <col min="7948" max="7948" width="12.77734375" style="13" bestFit="1" customWidth="1"/>
    <col min="7949" max="7949" width="13.33203125" style="13" bestFit="1" customWidth="1"/>
    <col min="7950" max="8203" width="11.5546875" style="13"/>
    <col min="8204" max="8204" width="12.77734375" style="13" bestFit="1" customWidth="1"/>
    <col min="8205" max="8205" width="13.33203125" style="13" bestFit="1" customWidth="1"/>
    <col min="8206" max="8459" width="11.5546875" style="13"/>
    <col min="8460" max="8460" width="12.77734375" style="13" bestFit="1" customWidth="1"/>
    <col min="8461" max="8461" width="13.33203125" style="13" bestFit="1" customWidth="1"/>
    <col min="8462" max="8715" width="11.5546875" style="13"/>
    <col min="8716" max="8716" width="12.77734375" style="13" bestFit="1" customWidth="1"/>
    <col min="8717" max="8717" width="13.33203125" style="13" bestFit="1" customWidth="1"/>
    <col min="8718" max="8971" width="11.5546875" style="13"/>
    <col min="8972" max="8972" width="12.77734375" style="13" bestFit="1" customWidth="1"/>
    <col min="8973" max="8973" width="13.33203125" style="13" bestFit="1" customWidth="1"/>
    <col min="8974" max="9227" width="11.5546875" style="13"/>
    <col min="9228" max="9228" width="12.77734375" style="13" bestFit="1" customWidth="1"/>
    <col min="9229" max="9229" width="13.33203125" style="13" bestFit="1" customWidth="1"/>
    <col min="9230" max="9483" width="11.5546875" style="13"/>
    <col min="9484" max="9484" width="12.77734375" style="13" bestFit="1" customWidth="1"/>
    <col min="9485" max="9485" width="13.33203125" style="13" bestFit="1" customWidth="1"/>
    <col min="9486" max="9739" width="11.5546875" style="13"/>
    <col min="9740" max="9740" width="12.77734375" style="13" bestFit="1" customWidth="1"/>
    <col min="9741" max="9741" width="13.33203125" style="13" bestFit="1" customWidth="1"/>
    <col min="9742" max="9995" width="11.5546875" style="13"/>
    <col min="9996" max="9996" width="12.77734375" style="13" bestFit="1" customWidth="1"/>
    <col min="9997" max="9997" width="13.33203125" style="13" bestFit="1" customWidth="1"/>
    <col min="9998" max="10251" width="11.5546875" style="13"/>
    <col min="10252" max="10252" width="12.77734375" style="13" bestFit="1" customWidth="1"/>
    <col min="10253" max="10253" width="13.33203125" style="13" bestFit="1" customWidth="1"/>
    <col min="10254" max="10507" width="11.5546875" style="13"/>
    <col min="10508" max="10508" width="12.77734375" style="13" bestFit="1" customWidth="1"/>
    <col min="10509" max="10509" width="13.33203125" style="13" bestFit="1" customWidth="1"/>
    <col min="10510" max="10763" width="11.5546875" style="13"/>
    <col min="10764" max="10764" width="12.77734375" style="13" bestFit="1" customWidth="1"/>
    <col min="10765" max="10765" width="13.33203125" style="13" bestFit="1" customWidth="1"/>
    <col min="10766" max="11019" width="11.5546875" style="13"/>
    <col min="11020" max="11020" width="12.77734375" style="13" bestFit="1" customWidth="1"/>
    <col min="11021" max="11021" width="13.33203125" style="13" bestFit="1" customWidth="1"/>
    <col min="11022" max="11275" width="11.5546875" style="13"/>
    <col min="11276" max="11276" width="12.77734375" style="13" bestFit="1" customWidth="1"/>
    <col min="11277" max="11277" width="13.33203125" style="13" bestFit="1" customWidth="1"/>
    <col min="11278" max="11531" width="11.5546875" style="13"/>
    <col min="11532" max="11532" width="12.77734375" style="13" bestFit="1" customWidth="1"/>
    <col min="11533" max="11533" width="13.33203125" style="13" bestFit="1" customWidth="1"/>
    <col min="11534" max="11787" width="11.5546875" style="13"/>
    <col min="11788" max="11788" width="12.77734375" style="13" bestFit="1" customWidth="1"/>
    <col min="11789" max="11789" width="13.33203125" style="13" bestFit="1" customWidth="1"/>
    <col min="11790" max="12043" width="11.5546875" style="13"/>
    <col min="12044" max="12044" width="12.77734375" style="13" bestFit="1" customWidth="1"/>
    <col min="12045" max="12045" width="13.33203125" style="13" bestFit="1" customWidth="1"/>
    <col min="12046" max="12299" width="11.5546875" style="13"/>
    <col min="12300" max="12300" width="12.77734375" style="13" bestFit="1" customWidth="1"/>
    <col min="12301" max="12301" width="13.33203125" style="13" bestFit="1" customWidth="1"/>
    <col min="12302" max="12555" width="11.5546875" style="13"/>
    <col min="12556" max="12556" width="12.77734375" style="13" bestFit="1" customWidth="1"/>
    <col min="12557" max="12557" width="13.33203125" style="13" bestFit="1" customWidth="1"/>
    <col min="12558" max="12811" width="11.5546875" style="13"/>
    <col min="12812" max="12812" width="12.77734375" style="13" bestFit="1" customWidth="1"/>
    <col min="12813" max="12813" width="13.33203125" style="13" bestFit="1" customWidth="1"/>
    <col min="12814" max="13067" width="11.5546875" style="13"/>
    <col min="13068" max="13068" width="12.77734375" style="13" bestFit="1" customWidth="1"/>
    <col min="13069" max="13069" width="13.33203125" style="13" bestFit="1" customWidth="1"/>
    <col min="13070" max="13323" width="11.5546875" style="13"/>
    <col min="13324" max="13324" width="12.77734375" style="13" bestFit="1" customWidth="1"/>
    <col min="13325" max="13325" width="13.33203125" style="13" bestFit="1" customWidth="1"/>
    <col min="13326" max="13579" width="11.5546875" style="13"/>
    <col min="13580" max="13580" width="12.77734375" style="13" bestFit="1" customWidth="1"/>
    <col min="13581" max="13581" width="13.33203125" style="13" bestFit="1" customWidth="1"/>
    <col min="13582" max="13835" width="11.5546875" style="13"/>
    <col min="13836" max="13836" width="12.77734375" style="13" bestFit="1" customWidth="1"/>
    <col min="13837" max="13837" width="13.33203125" style="13" bestFit="1" customWidth="1"/>
    <col min="13838" max="14091" width="11.5546875" style="13"/>
    <col min="14092" max="14092" width="12.77734375" style="13" bestFit="1" customWidth="1"/>
    <col min="14093" max="14093" width="13.33203125" style="13" bestFit="1" customWidth="1"/>
    <col min="14094" max="14347" width="11.5546875" style="13"/>
    <col min="14348" max="14348" width="12.77734375" style="13" bestFit="1" customWidth="1"/>
    <col min="14349" max="14349" width="13.33203125" style="13" bestFit="1" customWidth="1"/>
    <col min="14350" max="14603" width="11.5546875" style="13"/>
    <col min="14604" max="14604" width="12.77734375" style="13" bestFit="1" customWidth="1"/>
    <col min="14605" max="14605" width="13.33203125" style="13" bestFit="1" customWidth="1"/>
    <col min="14606" max="14859" width="11.5546875" style="13"/>
    <col min="14860" max="14860" width="12.77734375" style="13" bestFit="1" customWidth="1"/>
    <col min="14861" max="14861" width="13.33203125" style="13" bestFit="1" customWidth="1"/>
    <col min="14862" max="15115" width="11.5546875" style="13"/>
    <col min="15116" max="15116" width="12.77734375" style="13" bestFit="1" customWidth="1"/>
    <col min="15117" max="15117" width="13.33203125" style="13" bestFit="1" customWidth="1"/>
    <col min="15118" max="15371" width="11.5546875" style="13"/>
    <col min="15372" max="15372" width="12.77734375" style="13" bestFit="1" customWidth="1"/>
    <col min="15373" max="15373" width="13.33203125" style="13" bestFit="1" customWidth="1"/>
    <col min="15374" max="15627" width="11.5546875" style="13"/>
    <col min="15628" max="15628" width="12.77734375" style="13" bestFit="1" customWidth="1"/>
    <col min="15629" max="15629" width="13.33203125" style="13" bestFit="1" customWidth="1"/>
    <col min="15630" max="15883" width="11.5546875" style="13"/>
    <col min="15884" max="15884" width="12.77734375" style="13" bestFit="1" customWidth="1"/>
    <col min="15885" max="15885" width="13.33203125" style="13" bestFit="1" customWidth="1"/>
    <col min="15886" max="16139" width="11.5546875" style="13"/>
    <col min="16140" max="16140" width="12.77734375" style="13" bestFit="1" customWidth="1"/>
    <col min="16141" max="16141" width="13.33203125" style="13" bestFit="1" customWidth="1"/>
    <col min="16142" max="16384" width="11.5546875" style="13"/>
  </cols>
  <sheetData>
    <row r="1" spans="1:35" s="6" customFormat="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4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13</v>
      </c>
      <c r="Y1" s="2" t="s">
        <v>14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22</v>
      </c>
      <c r="AF1" s="2" t="s">
        <v>27</v>
      </c>
      <c r="AG1" s="2" t="s">
        <v>28</v>
      </c>
      <c r="AH1" s="2" t="s">
        <v>29</v>
      </c>
      <c r="AI1" s="5" t="s">
        <v>30</v>
      </c>
    </row>
    <row r="2" spans="1:35" x14ac:dyDescent="0.3">
      <c r="A2" s="7" t="s">
        <v>31</v>
      </c>
      <c r="B2" s="8" t="s">
        <v>32</v>
      </c>
      <c r="C2" s="8" t="s">
        <v>33</v>
      </c>
      <c r="D2" s="8" t="s">
        <v>34</v>
      </c>
      <c r="E2" s="13" t="str">
        <f>INDEX(Sheet1!$E$23:$E$34,MATCH(A2,Sheet1!$D$23:$D$34,0))</f>
        <v>Maring Eirl (2012) Informe de resutados de pesca de investigación asociado al permiso SUBPESCA, R.EX N°262/2012. Proyecto: Evaluación limnológica-íctica, estero El Arco, Coyhaique, Región de Aysén. Mandante: Garo S.A.</v>
      </c>
      <c r="F2" s="8" t="s">
        <v>35</v>
      </c>
      <c r="G2" s="8" t="s">
        <v>36</v>
      </c>
      <c r="H2" s="8" t="s">
        <v>37</v>
      </c>
      <c r="I2" s="8">
        <v>2012</v>
      </c>
      <c r="J2" s="9">
        <v>0.41666666666666669</v>
      </c>
      <c r="K2" s="8">
        <v>1</v>
      </c>
      <c r="L2" s="10">
        <v>-45.746924999999997</v>
      </c>
      <c r="M2" s="10">
        <v>-72.122613999999999</v>
      </c>
      <c r="N2" s="8" t="s">
        <v>38</v>
      </c>
      <c r="O2" s="8" t="s">
        <v>39</v>
      </c>
      <c r="P2" s="8" t="s">
        <v>40</v>
      </c>
      <c r="Q2" s="11">
        <v>1</v>
      </c>
      <c r="R2" s="8" t="s">
        <v>41</v>
      </c>
      <c r="S2" s="11">
        <v>1</v>
      </c>
      <c r="T2" s="8" t="s">
        <v>42</v>
      </c>
      <c r="U2" s="8">
        <v>0</v>
      </c>
      <c r="V2" s="8" t="s">
        <v>43</v>
      </c>
      <c r="W2" s="8" t="s">
        <v>44</v>
      </c>
      <c r="X2" s="8" t="s">
        <v>39</v>
      </c>
      <c r="Y2" s="8" t="s">
        <v>40</v>
      </c>
      <c r="Z2" s="8">
        <v>1</v>
      </c>
      <c r="AA2" s="8">
        <v>5</v>
      </c>
      <c r="AB2" s="8">
        <v>5</v>
      </c>
      <c r="AC2" s="8">
        <v>5</v>
      </c>
      <c r="AD2" s="8">
        <v>0</v>
      </c>
      <c r="AE2" s="8">
        <v>1</v>
      </c>
      <c r="AF2" s="8">
        <v>5.2</v>
      </c>
      <c r="AG2" s="8">
        <v>5.2</v>
      </c>
      <c r="AH2" s="8">
        <v>5.2</v>
      </c>
      <c r="AI2" s="12">
        <v>0</v>
      </c>
    </row>
    <row r="3" spans="1:35" x14ac:dyDescent="0.3">
      <c r="A3" s="14" t="s">
        <v>31</v>
      </c>
      <c r="B3" s="13" t="s">
        <v>32</v>
      </c>
      <c r="C3" s="13" t="s">
        <v>33</v>
      </c>
      <c r="D3" s="13" t="s">
        <v>34</v>
      </c>
      <c r="E3" s="13" t="str">
        <f>INDEX(Sheet1!$E$23:$E$34,MATCH(A3,Sheet1!$D$23:$D$34,0))</f>
        <v>Maring Eirl (2012) Informe de resutados de pesca de investigación asociado al permiso SUBPESCA, R.EX N°262/2012. Proyecto: Evaluación limnológica-íctica, estero El Arco, Coyhaique, Región de Aysén. Mandante: Garo S.A.</v>
      </c>
      <c r="F3" s="13" t="s">
        <v>35</v>
      </c>
      <c r="G3" s="13" t="s">
        <v>36</v>
      </c>
      <c r="H3" s="13" t="s">
        <v>37</v>
      </c>
      <c r="I3" s="13">
        <v>2012</v>
      </c>
      <c r="J3" s="15">
        <v>0.45833333333333298</v>
      </c>
      <c r="K3" s="13">
        <v>1</v>
      </c>
      <c r="L3" s="16">
        <v>-45.746924999999997</v>
      </c>
      <c r="M3" s="16">
        <v>-72.122613999999999</v>
      </c>
      <c r="N3" s="13" t="s">
        <v>38</v>
      </c>
      <c r="O3" s="13" t="s">
        <v>45</v>
      </c>
      <c r="P3" s="13" t="s">
        <v>46</v>
      </c>
      <c r="Q3" s="17">
        <v>28</v>
      </c>
      <c r="R3" s="13" t="s">
        <v>41</v>
      </c>
      <c r="S3" s="17">
        <v>28</v>
      </c>
      <c r="T3" s="13" t="s">
        <v>42</v>
      </c>
      <c r="U3" s="13">
        <v>0</v>
      </c>
      <c r="V3" s="13" t="s">
        <v>43</v>
      </c>
      <c r="W3" s="13" t="s">
        <v>44</v>
      </c>
      <c r="X3" s="13" t="s">
        <v>45</v>
      </c>
      <c r="Y3" s="13" t="s">
        <v>46</v>
      </c>
      <c r="Z3" s="13">
        <v>28</v>
      </c>
      <c r="AA3" s="13">
        <v>0.7</v>
      </c>
      <c r="AB3" s="13">
        <v>140</v>
      </c>
      <c r="AC3" s="13">
        <v>13.207142857142857</v>
      </c>
      <c r="AD3" s="13">
        <v>31.432796373066903</v>
      </c>
      <c r="AE3" s="13">
        <v>28</v>
      </c>
      <c r="AF3" s="13">
        <v>4.2</v>
      </c>
      <c r="AG3" s="13">
        <v>19.8</v>
      </c>
      <c r="AH3" s="13">
        <v>7.8999999999999995</v>
      </c>
      <c r="AI3" s="18">
        <v>3.8707832492872747</v>
      </c>
    </row>
    <row r="4" spans="1:35" x14ac:dyDescent="0.3">
      <c r="A4" s="14" t="s">
        <v>31</v>
      </c>
      <c r="B4" s="13" t="s">
        <v>32</v>
      </c>
      <c r="C4" s="13" t="s">
        <v>33</v>
      </c>
      <c r="D4" s="13" t="s">
        <v>34</v>
      </c>
      <c r="E4" s="13" t="str">
        <f>INDEX(Sheet1!$E$23:$E$34,MATCH(A4,Sheet1!$D$23:$D$34,0))</f>
        <v>Maring Eirl (2012) Informe de resutados de pesca de investigación asociado al permiso SUBPESCA, R.EX N°262/2012. Proyecto: Evaluación limnológica-íctica, estero El Arco, Coyhaique, Región de Aysén. Mandante: Garo S.A.</v>
      </c>
      <c r="F4" s="13" t="s">
        <v>35</v>
      </c>
      <c r="G4" s="13" t="s">
        <v>36</v>
      </c>
      <c r="H4" s="13" t="s">
        <v>37</v>
      </c>
      <c r="I4" s="13">
        <v>2012</v>
      </c>
      <c r="J4" s="15">
        <v>0.5</v>
      </c>
      <c r="K4" s="13">
        <v>2</v>
      </c>
      <c r="L4" s="16">
        <v>-45.747222000000001</v>
      </c>
      <c r="M4" s="16">
        <v>-72.132889000000006</v>
      </c>
      <c r="N4" s="13" t="s">
        <v>38</v>
      </c>
      <c r="O4" s="13" t="s">
        <v>45</v>
      </c>
      <c r="P4" s="13" t="s">
        <v>46</v>
      </c>
      <c r="Q4" s="17">
        <v>32</v>
      </c>
      <c r="R4" s="13" t="s">
        <v>41</v>
      </c>
      <c r="S4" s="17">
        <v>32</v>
      </c>
      <c r="T4" s="13" t="s">
        <v>42</v>
      </c>
      <c r="U4" s="13">
        <v>0</v>
      </c>
      <c r="V4" s="13" t="s">
        <v>43</v>
      </c>
      <c r="W4" s="13" t="s">
        <v>44</v>
      </c>
      <c r="X4" s="13" t="s">
        <v>45</v>
      </c>
      <c r="Y4" s="13" t="s">
        <v>46</v>
      </c>
      <c r="Z4" s="13">
        <v>32</v>
      </c>
      <c r="AA4" s="13">
        <v>0.8</v>
      </c>
      <c r="AB4" s="13">
        <v>1200</v>
      </c>
      <c r="AC4" s="13">
        <v>58.53125</v>
      </c>
      <c r="AD4" s="13">
        <v>222.25218230722186</v>
      </c>
      <c r="AE4" s="13">
        <v>32</v>
      </c>
      <c r="AF4" s="13">
        <v>4.0999999999999996</v>
      </c>
      <c r="AG4" s="13">
        <v>48.5</v>
      </c>
      <c r="AH4" s="13">
        <v>8.8343750000000032</v>
      </c>
      <c r="AI4" s="18">
        <v>9.5790635064859195</v>
      </c>
    </row>
    <row r="5" spans="1:35" x14ac:dyDescent="0.3">
      <c r="A5" s="14" t="s">
        <v>31</v>
      </c>
      <c r="B5" s="13" t="s">
        <v>32</v>
      </c>
      <c r="C5" s="13" t="s">
        <v>33</v>
      </c>
      <c r="D5" s="13" t="s">
        <v>34</v>
      </c>
      <c r="E5" s="13" t="str">
        <f>INDEX(Sheet1!$E$23:$E$34,MATCH(A5,Sheet1!$D$23:$D$34,0))</f>
        <v>Maring Eirl (2012) Informe de resutados de pesca de investigación asociado al permiso SUBPESCA, R.EX N°262/2012. Proyecto: Evaluación limnológica-íctica, estero El Arco, Coyhaique, Región de Aysén. Mandante: Garo S.A.</v>
      </c>
      <c r="F5" s="13" t="s">
        <v>35</v>
      </c>
      <c r="G5" s="13" t="s">
        <v>36</v>
      </c>
      <c r="H5" s="13" t="s">
        <v>37</v>
      </c>
      <c r="I5" s="13">
        <v>2012</v>
      </c>
      <c r="J5" s="15">
        <v>0.54166666666666696</v>
      </c>
      <c r="K5" s="13">
        <v>3</v>
      </c>
      <c r="L5" s="16">
        <v>-45.743194000000003</v>
      </c>
      <c r="M5" s="16">
        <v>-72.143000000000001</v>
      </c>
      <c r="N5" s="13" t="s">
        <v>38</v>
      </c>
      <c r="O5" s="13" t="s">
        <v>39</v>
      </c>
      <c r="P5" s="13" t="s">
        <v>40</v>
      </c>
      <c r="Q5" s="17">
        <v>2</v>
      </c>
      <c r="R5" s="13" t="s">
        <v>41</v>
      </c>
      <c r="S5" s="17">
        <v>2</v>
      </c>
      <c r="T5" s="13" t="s">
        <v>42</v>
      </c>
      <c r="U5" s="13">
        <v>0</v>
      </c>
      <c r="V5" s="13" t="s">
        <v>43</v>
      </c>
      <c r="W5" s="13" t="s">
        <v>44</v>
      </c>
      <c r="X5" s="13" t="s">
        <v>39</v>
      </c>
      <c r="Y5" s="13" t="s">
        <v>40</v>
      </c>
      <c r="Z5" s="13">
        <v>2</v>
      </c>
      <c r="AA5" s="13">
        <v>5</v>
      </c>
      <c r="AB5" s="13">
        <v>5</v>
      </c>
      <c r="AC5" s="13">
        <v>5</v>
      </c>
      <c r="AD5" s="13">
        <v>0</v>
      </c>
      <c r="AE5" s="13">
        <v>2</v>
      </c>
      <c r="AF5" s="13">
        <v>5.2</v>
      </c>
      <c r="AG5" s="13">
        <v>5.6</v>
      </c>
      <c r="AH5" s="13">
        <v>5.4</v>
      </c>
      <c r="AI5" s="18">
        <v>0.28284271247460341</v>
      </c>
    </row>
    <row r="6" spans="1:35" x14ac:dyDescent="0.3">
      <c r="A6" s="14" t="s">
        <v>31</v>
      </c>
      <c r="B6" s="13" t="s">
        <v>32</v>
      </c>
      <c r="C6" s="13" t="s">
        <v>33</v>
      </c>
      <c r="D6" s="13" t="s">
        <v>34</v>
      </c>
      <c r="E6" s="13" t="str">
        <f>INDEX(Sheet1!$E$23:$E$34,MATCH(A6,Sheet1!$D$23:$D$34,0))</f>
        <v>Maring Eirl (2012) Informe de resutados de pesca de investigación asociado al permiso SUBPESCA, R.EX N°262/2012. Proyecto: Evaluación limnológica-íctica, estero El Arco, Coyhaique, Región de Aysén. Mandante: Garo S.A.</v>
      </c>
      <c r="F6" s="13" t="s">
        <v>35</v>
      </c>
      <c r="G6" s="13" t="s">
        <v>36</v>
      </c>
      <c r="H6" s="13" t="s">
        <v>37</v>
      </c>
      <c r="I6" s="13">
        <v>2012</v>
      </c>
      <c r="J6" s="15">
        <v>0.58333333333333304</v>
      </c>
      <c r="K6" s="13">
        <v>3</v>
      </c>
      <c r="L6" s="16">
        <v>-45.743194000000003</v>
      </c>
      <c r="M6" s="16">
        <v>-72.143000000000001</v>
      </c>
      <c r="N6" s="13" t="s">
        <v>38</v>
      </c>
      <c r="O6" s="13" t="s">
        <v>45</v>
      </c>
      <c r="P6" s="13" t="s">
        <v>46</v>
      </c>
      <c r="Q6" s="17">
        <v>16</v>
      </c>
      <c r="R6" s="13" t="s">
        <v>41</v>
      </c>
      <c r="S6" s="17">
        <v>16</v>
      </c>
      <c r="T6" s="13" t="s">
        <v>42</v>
      </c>
      <c r="U6" s="13">
        <v>0</v>
      </c>
      <c r="V6" s="13" t="s">
        <v>43</v>
      </c>
      <c r="W6" s="13" t="s">
        <v>44</v>
      </c>
      <c r="X6" s="13" t="s">
        <v>45</v>
      </c>
      <c r="Y6" s="13" t="s">
        <v>46</v>
      </c>
      <c r="Z6" s="13">
        <v>16</v>
      </c>
      <c r="AA6" s="13">
        <v>5</v>
      </c>
      <c r="AB6" s="13">
        <v>45</v>
      </c>
      <c r="AC6" s="13">
        <v>16</v>
      </c>
      <c r="AD6" s="13">
        <v>16.30950643030009</v>
      </c>
      <c r="AE6" s="13">
        <v>16</v>
      </c>
      <c r="AF6" s="13">
        <v>5.8</v>
      </c>
      <c r="AG6" s="13">
        <v>16.399999999999999</v>
      </c>
      <c r="AH6" s="13">
        <v>10.775</v>
      </c>
      <c r="AI6" s="18">
        <v>4.018208556060773</v>
      </c>
    </row>
    <row r="7" spans="1:35" x14ac:dyDescent="0.3">
      <c r="A7" s="14" t="s">
        <v>47</v>
      </c>
      <c r="B7" s="13" t="s">
        <v>48</v>
      </c>
      <c r="C7" s="13" t="s">
        <v>49</v>
      </c>
      <c r="D7" s="13" t="s">
        <v>50</v>
      </c>
      <c r="E7" s="13" t="str">
        <f>INDEX(Sheet1!$E$23:$E$34,MATCH(A7,Sheet1!$D$23:$D$34,0))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7" s="13" t="s">
        <v>35</v>
      </c>
      <c r="G7" s="13" t="s">
        <v>51</v>
      </c>
      <c r="H7" s="13" t="s">
        <v>52</v>
      </c>
      <c r="I7" s="13">
        <v>2014</v>
      </c>
      <c r="J7" s="15">
        <v>0.29166666666666669</v>
      </c>
      <c r="K7" s="13" t="s">
        <v>53</v>
      </c>
      <c r="L7" s="16" t="s">
        <v>54</v>
      </c>
      <c r="M7" s="16" t="s">
        <v>55</v>
      </c>
      <c r="N7" s="13" t="s">
        <v>56</v>
      </c>
      <c r="O7" s="13" t="s">
        <v>57</v>
      </c>
      <c r="P7" s="13" t="s">
        <v>58</v>
      </c>
      <c r="Q7" s="17">
        <v>2</v>
      </c>
      <c r="R7" s="13" t="s">
        <v>59</v>
      </c>
      <c r="S7" s="17">
        <v>1.7000000000000001E-2</v>
      </c>
      <c r="T7" s="13" t="s">
        <v>60</v>
      </c>
      <c r="U7" s="13">
        <v>0</v>
      </c>
      <c r="V7" s="13" t="s">
        <v>43</v>
      </c>
      <c r="W7" s="13" t="s">
        <v>43</v>
      </c>
      <c r="X7" s="13" t="s">
        <v>57</v>
      </c>
      <c r="Y7" s="13" t="s">
        <v>58</v>
      </c>
      <c r="Z7" s="13">
        <v>2</v>
      </c>
      <c r="AA7" s="13">
        <v>45.2</v>
      </c>
      <c r="AB7" s="13">
        <v>82.1</v>
      </c>
      <c r="AC7" s="13">
        <v>63.7</v>
      </c>
      <c r="AD7" s="13">
        <v>26.09</v>
      </c>
      <c r="AE7" s="13">
        <v>2</v>
      </c>
      <c r="AF7" s="13">
        <v>17.5</v>
      </c>
      <c r="AG7" s="13">
        <v>19.5</v>
      </c>
      <c r="AH7" s="13">
        <v>18.5</v>
      </c>
      <c r="AI7" s="18">
        <v>1.41</v>
      </c>
    </row>
    <row r="8" spans="1:35" x14ac:dyDescent="0.3">
      <c r="A8" s="14" t="s">
        <v>47</v>
      </c>
      <c r="B8" s="13" t="s">
        <v>48</v>
      </c>
      <c r="C8" s="13" t="s">
        <v>49</v>
      </c>
      <c r="D8" s="13" t="s">
        <v>50</v>
      </c>
      <c r="E8" s="13" t="str">
        <f>INDEX(Sheet1!$E$23:$E$34,MATCH(A8,Sheet1!$D$23:$D$34,0))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8" s="13" t="s">
        <v>35</v>
      </c>
      <c r="G8" s="13" t="s">
        <v>51</v>
      </c>
      <c r="H8" s="13" t="s">
        <v>52</v>
      </c>
      <c r="I8" s="13">
        <v>2014</v>
      </c>
      <c r="J8" s="15">
        <v>0.29166666666666669</v>
      </c>
      <c r="K8" s="13" t="s">
        <v>53</v>
      </c>
      <c r="L8" s="16" t="s">
        <v>54</v>
      </c>
      <c r="M8" s="16" t="s">
        <v>55</v>
      </c>
      <c r="N8" s="13" t="s">
        <v>56</v>
      </c>
      <c r="O8" s="13" t="s">
        <v>45</v>
      </c>
      <c r="P8" s="13" t="s">
        <v>61</v>
      </c>
      <c r="Q8" s="17">
        <v>1</v>
      </c>
      <c r="R8" s="13" t="s">
        <v>59</v>
      </c>
      <c r="S8" s="17">
        <v>0.08</v>
      </c>
      <c r="T8" s="13" t="s">
        <v>60</v>
      </c>
      <c r="U8" s="13">
        <v>0</v>
      </c>
      <c r="V8" s="13" t="s">
        <v>43</v>
      </c>
      <c r="W8" s="13" t="s">
        <v>43</v>
      </c>
      <c r="X8" s="13" t="s">
        <v>45</v>
      </c>
      <c r="Y8" s="13" t="s">
        <v>61</v>
      </c>
      <c r="Z8" s="13">
        <v>1</v>
      </c>
      <c r="AA8" s="13">
        <v>25.5</v>
      </c>
      <c r="AB8" s="13">
        <v>25.5</v>
      </c>
      <c r="AC8" s="13">
        <v>25.5</v>
      </c>
      <c r="AD8" s="13" t="s">
        <v>62</v>
      </c>
      <c r="AE8" s="13">
        <v>1</v>
      </c>
      <c r="AF8" s="13">
        <v>13.6</v>
      </c>
      <c r="AG8" s="13">
        <v>13.6</v>
      </c>
      <c r="AH8" s="13">
        <v>13.6</v>
      </c>
      <c r="AI8" s="18" t="s">
        <v>62</v>
      </c>
    </row>
    <row r="9" spans="1:35" x14ac:dyDescent="0.3">
      <c r="A9" s="14" t="s">
        <v>47</v>
      </c>
      <c r="B9" s="13" t="s">
        <v>48</v>
      </c>
      <c r="C9" s="13" t="s">
        <v>49</v>
      </c>
      <c r="D9" s="13" t="s">
        <v>50</v>
      </c>
      <c r="E9" s="13" t="str">
        <f>INDEX(Sheet1!$E$23:$E$34,MATCH(A9,Sheet1!$D$23:$D$34,0))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9" s="13" t="s">
        <v>35</v>
      </c>
      <c r="G9" s="13" t="s">
        <v>51</v>
      </c>
      <c r="H9" s="13" t="s">
        <v>52</v>
      </c>
      <c r="I9" s="13">
        <v>2014</v>
      </c>
      <c r="J9" s="15">
        <v>0.375</v>
      </c>
      <c r="K9" s="13" t="s">
        <v>63</v>
      </c>
      <c r="L9" s="16" t="s">
        <v>64</v>
      </c>
      <c r="M9" s="16" t="s">
        <v>65</v>
      </c>
      <c r="N9" s="13" t="s">
        <v>56</v>
      </c>
      <c r="O9" s="13" t="s">
        <v>57</v>
      </c>
      <c r="P9" s="13" t="s">
        <v>58</v>
      </c>
      <c r="Q9" s="17">
        <v>1</v>
      </c>
      <c r="R9" s="13" t="s">
        <v>41</v>
      </c>
      <c r="S9" s="17">
        <v>1</v>
      </c>
      <c r="T9" s="13" t="s">
        <v>42</v>
      </c>
      <c r="U9" s="13">
        <v>0</v>
      </c>
      <c r="V9" s="13" t="s">
        <v>43</v>
      </c>
      <c r="W9" s="13" t="s">
        <v>43</v>
      </c>
      <c r="X9" s="13" t="s">
        <v>57</v>
      </c>
      <c r="Y9" s="13" t="s">
        <v>58</v>
      </c>
      <c r="Z9" s="13">
        <v>1</v>
      </c>
      <c r="AA9" s="13">
        <v>2.2000000000000002</v>
      </c>
      <c r="AB9" s="13">
        <v>2.2000000000000002</v>
      </c>
      <c r="AC9" s="13">
        <v>2.2000000000000002</v>
      </c>
      <c r="AD9" s="13" t="s">
        <v>62</v>
      </c>
      <c r="AE9" s="13">
        <v>1</v>
      </c>
      <c r="AF9" s="13">
        <v>5.7</v>
      </c>
      <c r="AG9" s="13">
        <v>5.7</v>
      </c>
      <c r="AH9" s="13">
        <v>5.7</v>
      </c>
      <c r="AI9" s="18" t="s">
        <v>62</v>
      </c>
    </row>
    <row r="10" spans="1:35" x14ac:dyDescent="0.3">
      <c r="A10" s="14" t="s">
        <v>47</v>
      </c>
      <c r="B10" s="13" t="s">
        <v>48</v>
      </c>
      <c r="C10" s="13" t="s">
        <v>49</v>
      </c>
      <c r="D10" s="13" t="s">
        <v>50</v>
      </c>
      <c r="E10" s="13" t="str">
        <f>INDEX(Sheet1!$E$23:$E$34,MATCH(A10,Sheet1!$D$23:$D$34,0))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10" s="13" t="s">
        <v>35</v>
      </c>
      <c r="G10" s="13" t="s">
        <v>51</v>
      </c>
      <c r="H10" s="13" t="s">
        <v>52</v>
      </c>
      <c r="I10" s="13">
        <v>2014</v>
      </c>
      <c r="J10" s="15">
        <v>0.75</v>
      </c>
      <c r="K10" s="13" t="s">
        <v>66</v>
      </c>
      <c r="L10" s="16" t="s">
        <v>67</v>
      </c>
      <c r="M10" s="16" t="s">
        <v>68</v>
      </c>
      <c r="N10" s="13" t="s">
        <v>56</v>
      </c>
      <c r="O10" s="13" t="s">
        <v>57</v>
      </c>
      <c r="P10" s="13" t="s">
        <v>58</v>
      </c>
      <c r="Q10" s="17">
        <v>1</v>
      </c>
      <c r="R10" s="13" t="s">
        <v>41</v>
      </c>
      <c r="S10" s="17">
        <v>1</v>
      </c>
      <c r="T10" s="13" t="s">
        <v>42</v>
      </c>
      <c r="U10" s="13">
        <v>0</v>
      </c>
      <c r="V10" s="13" t="s">
        <v>43</v>
      </c>
      <c r="W10" s="13" t="s">
        <v>43</v>
      </c>
      <c r="X10" s="13" t="s">
        <v>57</v>
      </c>
      <c r="Y10" s="13" t="s">
        <v>58</v>
      </c>
      <c r="Z10" s="13">
        <v>1</v>
      </c>
      <c r="AA10" s="13">
        <v>990</v>
      </c>
      <c r="AB10" s="13">
        <v>990</v>
      </c>
      <c r="AC10" s="13">
        <v>990</v>
      </c>
      <c r="AD10" s="13" t="s">
        <v>62</v>
      </c>
      <c r="AE10" s="13">
        <v>1</v>
      </c>
      <c r="AF10" s="13">
        <v>49.5</v>
      </c>
      <c r="AG10" s="13">
        <v>49.5</v>
      </c>
      <c r="AH10" s="13">
        <v>49.5</v>
      </c>
      <c r="AI10" s="18" t="s">
        <v>62</v>
      </c>
    </row>
    <row r="11" spans="1:35" x14ac:dyDescent="0.3">
      <c r="A11" s="14" t="s">
        <v>47</v>
      </c>
      <c r="B11" s="13" t="s">
        <v>48</v>
      </c>
      <c r="C11" s="13" t="s">
        <v>49</v>
      </c>
      <c r="D11" s="13" t="s">
        <v>50</v>
      </c>
      <c r="E11" s="13" t="str">
        <f>INDEX(Sheet1!$E$23:$E$34,MATCH(A11,Sheet1!$D$23:$D$34,0))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11" s="13" t="s">
        <v>35</v>
      </c>
      <c r="G11" s="13" t="s">
        <v>51</v>
      </c>
      <c r="H11" s="13" t="s">
        <v>52</v>
      </c>
      <c r="I11" s="13">
        <v>2014</v>
      </c>
      <c r="J11" s="15">
        <v>0.75</v>
      </c>
      <c r="K11" s="13" t="s">
        <v>66</v>
      </c>
      <c r="L11" s="16" t="s">
        <v>67</v>
      </c>
      <c r="M11" s="16" t="s">
        <v>68</v>
      </c>
      <c r="N11" s="13" t="s">
        <v>56</v>
      </c>
      <c r="O11" s="13" t="s">
        <v>57</v>
      </c>
      <c r="P11" s="13" t="s">
        <v>58</v>
      </c>
      <c r="Q11" s="17">
        <v>1</v>
      </c>
      <c r="R11" s="13" t="s">
        <v>59</v>
      </c>
      <c r="S11" s="17">
        <v>8.0000000000000002E-3</v>
      </c>
      <c r="T11" s="13" t="s">
        <v>60</v>
      </c>
      <c r="U11" s="13">
        <v>0</v>
      </c>
      <c r="V11" s="13" t="s">
        <v>43</v>
      </c>
      <c r="W11" s="13" t="s">
        <v>43</v>
      </c>
      <c r="X11" s="13" t="s">
        <v>57</v>
      </c>
      <c r="Y11" s="13" t="s">
        <v>58</v>
      </c>
      <c r="Z11" s="13">
        <v>1</v>
      </c>
      <c r="AA11" s="13">
        <v>80.7</v>
      </c>
      <c r="AB11" s="13">
        <v>80.7</v>
      </c>
      <c r="AC11" s="13">
        <v>80.7</v>
      </c>
      <c r="AD11" s="13" t="s">
        <v>62</v>
      </c>
      <c r="AE11" s="13">
        <v>1</v>
      </c>
      <c r="AF11" s="13">
        <v>17.2</v>
      </c>
      <c r="AG11" s="13">
        <v>17.2</v>
      </c>
      <c r="AH11" s="13">
        <v>17.2</v>
      </c>
      <c r="AI11" s="18" t="s">
        <v>62</v>
      </c>
    </row>
    <row r="12" spans="1:35" x14ac:dyDescent="0.3">
      <c r="A12" s="14" t="s">
        <v>47</v>
      </c>
      <c r="B12" s="13" t="s">
        <v>48</v>
      </c>
      <c r="C12" s="13" t="s">
        <v>49</v>
      </c>
      <c r="D12" s="13" t="s">
        <v>50</v>
      </c>
      <c r="E12" s="13" t="str">
        <f>INDEX(Sheet1!$E$23:$E$34,MATCH(A12,Sheet1!$D$23:$D$34,0))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12" s="13" t="s">
        <v>35</v>
      </c>
      <c r="G12" s="13" t="s">
        <v>51</v>
      </c>
      <c r="H12" s="13" t="s">
        <v>52</v>
      </c>
      <c r="I12" s="13">
        <v>2014</v>
      </c>
      <c r="J12" s="15">
        <v>0.75</v>
      </c>
      <c r="K12" s="13" t="s">
        <v>66</v>
      </c>
      <c r="L12" s="16" t="s">
        <v>67</v>
      </c>
      <c r="M12" s="16" t="s">
        <v>68</v>
      </c>
      <c r="N12" s="13" t="s">
        <v>56</v>
      </c>
      <c r="O12" s="13" t="s">
        <v>45</v>
      </c>
      <c r="P12" s="13" t="s">
        <v>61</v>
      </c>
      <c r="Q12" s="17">
        <v>3</v>
      </c>
      <c r="R12" s="13" t="s">
        <v>59</v>
      </c>
      <c r="S12" s="17">
        <v>0.25</v>
      </c>
      <c r="T12" s="13" t="s">
        <v>60</v>
      </c>
      <c r="U12" s="13">
        <v>0</v>
      </c>
      <c r="V12" s="13" t="s">
        <v>43</v>
      </c>
      <c r="W12" s="13" t="s">
        <v>43</v>
      </c>
      <c r="X12" s="13" t="s">
        <v>45</v>
      </c>
      <c r="Y12" s="13" t="s">
        <v>61</v>
      </c>
      <c r="Z12" s="13">
        <v>3</v>
      </c>
      <c r="AA12" s="13">
        <v>39.299999999999997</v>
      </c>
      <c r="AB12" s="13">
        <v>240.7</v>
      </c>
      <c r="AC12" s="13">
        <v>158.4</v>
      </c>
      <c r="AD12" s="13">
        <v>105.61</v>
      </c>
      <c r="AE12" s="13">
        <v>3</v>
      </c>
      <c r="AF12" s="13">
        <v>14.9</v>
      </c>
      <c r="AG12" s="13">
        <v>28</v>
      </c>
      <c r="AH12" s="13">
        <v>23.1</v>
      </c>
      <c r="AI12" s="18">
        <v>7.17</v>
      </c>
    </row>
    <row r="13" spans="1:35" x14ac:dyDescent="0.3">
      <c r="A13" s="14" t="s">
        <v>47</v>
      </c>
      <c r="B13" s="13" t="s">
        <v>48</v>
      </c>
      <c r="C13" s="13" t="s">
        <v>49</v>
      </c>
      <c r="D13" s="13" t="s">
        <v>50</v>
      </c>
      <c r="E13" s="13" t="str">
        <f>INDEX(Sheet1!$E$23:$E$34,MATCH(A13,Sheet1!$D$23:$D$34,0))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13" s="13" t="s">
        <v>35</v>
      </c>
      <c r="G13" s="13" t="s">
        <v>51</v>
      </c>
      <c r="H13" s="13" t="s">
        <v>52</v>
      </c>
      <c r="I13" s="13">
        <v>2014</v>
      </c>
      <c r="J13" s="15">
        <v>0.33333333333333331</v>
      </c>
      <c r="K13" s="13" t="s">
        <v>69</v>
      </c>
      <c r="L13" s="16" t="s">
        <v>70</v>
      </c>
      <c r="M13" s="16" t="s">
        <v>71</v>
      </c>
      <c r="N13" s="13" t="s">
        <v>56</v>
      </c>
      <c r="O13" s="13" t="s">
        <v>45</v>
      </c>
      <c r="P13" s="13" t="s">
        <v>61</v>
      </c>
      <c r="Q13" s="17">
        <v>1</v>
      </c>
      <c r="R13" s="13" t="s">
        <v>41</v>
      </c>
      <c r="S13" s="17">
        <v>1</v>
      </c>
      <c r="T13" s="13" t="s">
        <v>42</v>
      </c>
      <c r="U13" s="13">
        <v>0</v>
      </c>
      <c r="V13" s="13" t="s">
        <v>43</v>
      </c>
      <c r="W13" s="13" t="s">
        <v>43</v>
      </c>
      <c r="X13" s="13" t="s">
        <v>45</v>
      </c>
      <c r="Y13" s="13" t="s">
        <v>61</v>
      </c>
      <c r="Z13" s="13">
        <v>1</v>
      </c>
      <c r="AA13" s="13">
        <v>2.4</v>
      </c>
      <c r="AB13" s="13">
        <v>2.4</v>
      </c>
      <c r="AC13" s="13">
        <v>2.4</v>
      </c>
      <c r="AD13" s="13" t="s">
        <v>62</v>
      </c>
      <c r="AE13" s="13">
        <v>1</v>
      </c>
      <c r="AF13" s="13">
        <v>5.7</v>
      </c>
      <c r="AG13" s="13">
        <v>5.7</v>
      </c>
      <c r="AH13" s="13">
        <v>5.7</v>
      </c>
      <c r="AI13" s="18" t="s">
        <v>62</v>
      </c>
    </row>
    <row r="14" spans="1:35" x14ac:dyDescent="0.3">
      <c r="A14" s="14" t="s">
        <v>47</v>
      </c>
      <c r="B14" s="13" t="s">
        <v>48</v>
      </c>
      <c r="C14" s="13" t="s">
        <v>49</v>
      </c>
      <c r="D14" s="13" t="s">
        <v>50</v>
      </c>
      <c r="E14" s="13" t="str">
        <f>INDEX(Sheet1!$E$23:$E$34,MATCH(A14,Sheet1!$D$23:$D$34,0))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14" s="13" t="s">
        <v>35</v>
      </c>
      <c r="G14" s="13" t="s">
        <v>51</v>
      </c>
      <c r="H14" s="13" t="s">
        <v>52</v>
      </c>
      <c r="I14" s="13">
        <v>2014</v>
      </c>
      <c r="J14" s="15">
        <v>0.41666666666666669</v>
      </c>
      <c r="K14" s="13" t="s">
        <v>72</v>
      </c>
      <c r="L14" s="16" t="s">
        <v>73</v>
      </c>
      <c r="M14" s="16" t="s">
        <v>74</v>
      </c>
      <c r="N14" s="13" t="s">
        <v>56</v>
      </c>
      <c r="O14" s="13" t="s">
        <v>57</v>
      </c>
      <c r="P14" s="13" t="s">
        <v>58</v>
      </c>
      <c r="Q14" s="17">
        <v>1</v>
      </c>
      <c r="R14" s="13" t="s">
        <v>41</v>
      </c>
      <c r="S14" s="17">
        <v>1</v>
      </c>
      <c r="T14" s="13" t="s">
        <v>42</v>
      </c>
      <c r="U14" s="13">
        <v>0</v>
      </c>
      <c r="V14" s="13" t="s">
        <v>43</v>
      </c>
      <c r="W14" s="13" t="s">
        <v>43</v>
      </c>
      <c r="X14" s="13" t="s">
        <v>57</v>
      </c>
      <c r="Y14" s="13" t="s">
        <v>58</v>
      </c>
      <c r="Z14" s="13">
        <v>1</v>
      </c>
      <c r="AA14" s="13">
        <v>39.9</v>
      </c>
      <c r="AB14" s="13">
        <v>39.9</v>
      </c>
      <c r="AC14" s="13">
        <v>39.9</v>
      </c>
      <c r="AD14" s="13" t="s">
        <v>62</v>
      </c>
      <c r="AE14" s="13">
        <v>1</v>
      </c>
      <c r="AF14" s="13">
        <v>14.9</v>
      </c>
      <c r="AG14" s="13">
        <v>14.9</v>
      </c>
      <c r="AH14" s="13">
        <v>14.9</v>
      </c>
      <c r="AI14" s="18" t="s">
        <v>62</v>
      </c>
    </row>
    <row r="15" spans="1:35" x14ac:dyDescent="0.3">
      <c r="A15" s="14" t="s">
        <v>47</v>
      </c>
      <c r="B15" s="13" t="s">
        <v>48</v>
      </c>
      <c r="C15" s="13" t="s">
        <v>49</v>
      </c>
      <c r="D15" s="13" t="s">
        <v>50</v>
      </c>
      <c r="E15" s="13" t="str">
        <f>INDEX(Sheet1!$E$23:$E$34,MATCH(A15,Sheet1!$D$23:$D$34,0))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15" s="13" t="s">
        <v>35</v>
      </c>
      <c r="G15" s="13" t="s">
        <v>51</v>
      </c>
      <c r="H15" s="13" t="s">
        <v>52</v>
      </c>
      <c r="I15" s="13">
        <v>2014</v>
      </c>
      <c r="J15" s="15">
        <v>0.41666666666666669</v>
      </c>
      <c r="K15" s="13" t="s">
        <v>72</v>
      </c>
      <c r="L15" s="16" t="s">
        <v>73</v>
      </c>
      <c r="M15" s="16" t="s">
        <v>74</v>
      </c>
      <c r="N15" s="13" t="s">
        <v>56</v>
      </c>
      <c r="O15" s="13" t="s">
        <v>75</v>
      </c>
      <c r="P15" s="13" t="s">
        <v>76</v>
      </c>
      <c r="Q15" s="17">
        <v>1</v>
      </c>
      <c r="R15" s="13" t="s">
        <v>41</v>
      </c>
      <c r="S15" s="17">
        <v>1</v>
      </c>
      <c r="T15" s="13" t="s">
        <v>42</v>
      </c>
      <c r="U15" s="13">
        <v>0</v>
      </c>
      <c r="V15" s="13" t="s">
        <v>43</v>
      </c>
      <c r="W15" s="13" t="s">
        <v>43</v>
      </c>
      <c r="X15" s="13" t="s">
        <v>75</v>
      </c>
      <c r="Y15" s="13" t="s">
        <v>76</v>
      </c>
      <c r="Z15" s="13">
        <v>1</v>
      </c>
      <c r="AA15" s="13">
        <v>9.4</v>
      </c>
      <c r="AB15" s="13">
        <v>9.4</v>
      </c>
      <c r="AC15" s="13">
        <v>9.4</v>
      </c>
      <c r="AD15" s="13" t="s">
        <v>62</v>
      </c>
      <c r="AE15" s="13">
        <v>1</v>
      </c>
      <c r="AF15" s="13">
        <v>8.6</v>
      </c>
      <c r="AG15" s="13">
        <v>8.6</v>
      </c>
      <c r="AH15" s="13">
        <v>8.6</v>
      </c>
      <c r="AI15" s="18" t="s">
        <v>62</v>
      </c>
    </row>
    <row r="16" spans="1:35" x14ac:dyDescent="0.3">
      <c r="A16" s="14" t="s">
        <v>47</v>
      </c>
      <c r="B16" s="13" t="s">
        <v>48</v>
      </c>
      <c r="C16" s="13" t="s">
        <v>49</v>
      </c>
      <c r="D16" s="13" t="s">
        <v>50</v>
      </c>
      <c r="E16" s="13" t="str">
        <f>INDEX(Sheet1!$E$23:$E$34,MATCH(A16,Sheet1!$D$23:$D$34,0))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16" s="13" t="s">
        <v>35</v>
      </c>
      <c r="G16" s="13" t="s">
        <v>51</v>
      </c>
      <c r="H16" s="13" t="s">
        <v>52</v>
      </c>
      <c r="I16" s="13">
        <v>2014</v>
      </c>
      <c r="J16" s="15">
        <v>0.41666666666666669</v>
      </c>
      <c r="K16" s="13" t="s">
        <v>72</v>
      </c>
      <c r="L16" s="16" t="s">
        <v>73</v>
      </c>
      <c r="M16" s="16" t="s">
        <v>74</v>
      </c>
      <c r="N16" s="13" t="s">
        <v>56</v>
      </c>
      <c r="O16" s="13" t="s">
        <v>77</v>
      </c>
      <c r="P16" s="13" t="s">
        <v>78</v>
      </c>
      <c r="Q16" s="17">
        <v>6</v>
      </c>
      <c r="R16" s="13" t="s">
        <v>41</v>
      </c>
      <c r="S16" s="17">
        <v>6</v>
      </c>
      <c r="T16" s="13" t="s">
        <v>42</v>
      </c>
      <c r="U16" s="13">
        <v>0</v>
      </c>
      <c r="V16" s="13" t="s">
        <v>43</v>
      </c>
      <c r="W16" s="13" t="s">
        <v>43</v>
      </c>
      <c r="X16" s="13" t="s">
        <v>77</v>
      </c>
      <c r="Y16" s="13" t="s">
        <v>78</v>
      </c>
      <c r="Z16" s="13">
        <v>6</v>
      </c>
      <c r="AA16" s="13">
        <v>1.3</v>
      </c>
      <c r="AB16" s="13">
        <v>2.2999999999999998</v>
      </c>
      <c r="AC16" s="13">
        <v>1.7</v>
      </c>
      <c r="AD16" s="13">
        <v>0.37</v>
      </c>
      <c r="AE16" s="13">
        <v>6</v>
      </c>
      <c r="AF16" s="13">
        <v>6.4</v>
      </c>
      <c r="AG16" s="13">
        <v>6.9</v>
      </c>
      <c r="AH16" s="13">
        <v>6.6</v>
      </c>
      <c r="AI16" s="18">
        <v>0.4</v>
      </c>
    </row>
    <row r="17" spans="1:35" x14ac:dyDescent="0.3">
      <c r="A17" s="14" t="s">
        <v>47</v>
      </c>
      <c r="B17" s="13" t="s">
        <v>48</v>
      </c>
      <c r="C17" s="13" t="s">
        <v>49</v>
      </c>
      <c r="D17" s="13" t="s">
        <v>50</v>
      </c>
      <c r="E17" s="13" t="str">
        <f>INDEX(Sheet1!$E$23:$E$34,MATCH(A17,Sheet1!$D$23:$D$34,0))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17" s="13" t="s">
        <v>35</v>
      </c>
      <c r="G17" s="13" t="s">
        <v>51</v>
      </c>
      <c r="H17" s="13" t="s">
        <v>79</v>
      </c>
      <c r="I17" s="13">
        <v>2014</v>
      </c>
      <c r="J17" s="15">
        <v>0.375</v>
      </c>
      <c r="K17" s="13" t="s">
        <v>53</v>
      </c>
      <c r="L17" s="16" t="s">
        <v>54</v>
      </c>
      <c r="M17" s="16" t="s">
        <v>55</v>
      </c>
      <c r="N17" s="13" t="s">
        <v>56</v>
      </c>
      <c r="O17" s="13" t="s">
        <v>45</v>
      </c>
      <c r="P17" s="13" t="s">
        <v>61</v>
      </c>
      <c r="Q17" s="17">
        <v>1</v>
      </c>
      <c r="R17" s="13" t="s">
        <v>59</v>
      </c>
      <c r="S17" s="17">
        <v>8.0000000000000002E-3</v>
      </c>
      <c r="T17" s="13" t="s">
        <v>60</v>
      </c>
      <c r="U17" s="13">
        <v>0</v>
      </c>
      <c r="V17" s="13" t="s">
        <v>43</v>
      </c>
      <c r="W17" s="13" t="s">
        <v>43</v>
      </c>
      <c r="X17" s="13" t="s">
        <v>45</v>
      </c>
      <c r="Y17" s="13" t="s">
        <v>61</v>
      </c>
      <c r="Z17" s="13">
        <v>1</v>
      </c>
      <c r="AA17" s="13">
        <v>690</v>
      </c>
      <c r="AB17" s="13">
        <v>690</v>
      </c>
      <c r="AC17" s="13">
        <v>690</v>
      </c>
      <c r="AD17" s="13" t="s">
        <v>62</v>
      </c>
      <c r="AE17" s="13">
        <v>1</v>
      </c>
      <c r="AF17" s="13">
        <v>39</v>
      </c>
      <c r="AG17" s="13">
        <v>39</v>
      </c>
      <c r="AH17" s="13">
        <v>39</v>
      </c>
      <c r="AI17" s="18" t="s">
        <v>62</v>
      </c>
    </row>
    <row r="18" spans="1:35" x14ac:dyDescent="0.3">
      <c r="A18" s="14" t="s">
        <v>47</v>
      </c>
      <c r="B18" s="13" t="s">
        <v>48</v>
      </c>
      <c r="C18" s="13" t="s">
        <v>49</v>
      </c>
      <c r="D18" s="13" t="s">
        <v>50</v>
      </c>
      <c r="E18" s="13" t="str">
        <f>INDEX(Sheet1!$E$23:$E$34,MATCH(A18,Sheet1!$D$23:$D$34,0))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18" s="13" t="s">
        <v>35</v>
      </c>
      <c r="G18" s="13" t="s">
        <v>51</v>
      </c>
      <c r="H18" s="13" t="s">
        <v>79</v>
      </c>
      <c r="I18" s="13">
        <v>2014</v>
      </c>
      <c r="J18" s="15">
        <v>0.4375</v>
      </c>
      <c r="K18" s="13" t="s">
        <v>63</v>
      </c>
      <c r="L18" s="16" t="s">
        <v>64</v>
      </c>
      <c r="M18" s="16" t="s">
        <v>65</v>
      </c>
      <c r="N18" s="13" t="s">
        <v>56</v>
      </c>
      <c r="O18" s="13" t="s">
        <v>45</v>
      </c>
      <c r="P18" s="13" t="s">
        <v>61</v>
      </c>
      <c r="Q18" s="17">
        <v>1</v>
      </c>
      <c r="R18" s="13" t="s">
        <v>41</v>
      </c>
      <c r="S18" s="17">
        <v>1</v>
      </c>
      <c r="T18" s="13" t="s">
        <v>42</v>
      </c>
      <c r="U18" s="13">
        <v>0</v>
      </c>
      <c r="V18" s="13" t="s">
        <v>43</v>
      </c>
      <c r="W18" s="13" t="s">
        <v>43</v>
      </c>
      <c r="X18" s="13" t="s">
        <v>45</v>
      </c>
      <c r="Y18" s="13" t="s">
        <v>61</v>
      </c>
      <c r="Z18" s="13">
        <v>1</v>
      </c>
      <c r="AA18" s="13">
        <v>20</v>
      </c>
      <c r="AB18" s="13">
        <v>20</v>
      </c>
      <c r="AC18" s="13">
        <v>20</v>
      </c>
      <c r="AD18" s="13" t="s">
        <v>62</v>
      </c>
      <c r="AE18" s="13">
        <v>1</v>
      </c>
      <c r="AF18" s="13">
        <v>11.5</v>
      </c>
      <c r="AG18" s="13">
        <v>11.5</v>
      </c>
      <c r="AH18" s="13">
        <v>11.5</v>
      </c>
      <c r="AI18" s="18" t="s">
        <v>62</v>
      </c>
    </row>
    <row r="19" spans="1:35" x14ac:dyDescent="0.3">
      <c r="A19" s="14" t="s">
        <v>47</v>
      </c>
      <c r="B19" s="13" t="s">
        <v>48</v>
      </c>
      <c r="C19" s="13" t="s">
        <v>49</v>
      </c>
      <c r="D19" s="13" t="s">
        <v>50</v>
      </c>
      <c r="E19" s="13" t="str">
        <f>INDEX(Sheet1!$E$23:$E$34,MATCH(A19,Sheet1!$D$23:$D$34,0))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19" s="13" t="s">
        <v>35</v>
      </c>
      <c r="G19" s="13" t="s">
        <v>51</v>
      </c>
      <c r="H19" s="13" t="s">
        <v>79</v>
      </c>
      <c r="I19" s="13">
        <v>2014</v>
      </c>
      <c r="J19" s="15">
        <v>0.70833333333333337</v>
      </c>
      <c r="K19" s="13" t="s">
        <v>66</v>
      </c>
      <c r="L19" s="16" t="s">
        <v>67</v>
      </c>
      <c r="M19" s="16" t="s">
        <v>68</v>
      </c>
      <c r="N19" s="13" t="s">
        <v>56</v>
      </c>
      <c r="O19" s="13" t="s">
        <v>57</v>
      </c>
      <c r="P19" s="13" t="s">
        <v>58</v>
      </c>
      <c r="Q19" s="17">
        <v>1</v>
      </c>
      <c r="R19" s="13" t="s">
        <v>41</v>
      </c>
      <c r="S19" s="17">
        <v>1</v>
      </c>
      <c r="T19" s="13" t="s">
        <v>42</v>
      </c>
      <c r="U19" s="13">
        <v>0</v>
      </c>
      <c r="V19" s="13" t="s">
        <v>43</v>
      </c>
      <c r="W19" s="13" t="s">
        <v>43</v>
      </c>
      <c r="X19" s="13" t="s">
        <v>57</v>
      </c>
      <c r="Y19" s="13" t="s">
        <v>58</v>
      </c>
      <c r="Z19" s="13">
        <v>1</v>
      </c>
      <c r="AA19" s="13">
        <v>2.2000000000000002</v>
      </c>
      <c r="AB19" s="13">
        <v>2.2000000000000002</v>
      </c>
      <c r="AC19" s="13">
        <v>2.2000000000000002</v>
      </c>
      <c r="AD19" s="13" t="s">
        <v>62</v>
      </c>
      <c r="AE19" s="13">
        <v>1</v>
      </c>
      <c r="AF19" s="13">
        <v>5.6</v>
      </c>
      <c r="AG19" s="13">
        <v>5.6</v>
      </c>
      <c r="AH19" s="13">
        <v>5.6</v>
      </c>
      <c r="AI19" s="18" t="s">
        <v>62</v>
      </c>
    </row>
    <row r="20" spans="1:35" x14ac:dyDescent="0.3">
      <c r="A20" s="14" t="s">
        <v>47</v>
      </c>
      <c r="B20" s="13" t="s">
        <v>48</v>
      </c>
      <c r="C20" s="13" t="s">
        <v>49</v>
      </c>
      <c r="D20" s="13" t="s">
        <v>50</v>
      </c>
      <c r="E20" s="13" t="str">
        <f>INDEX(Sheet1!$E$23:$E$34,MATCH(A20,Sheet1!$D$23:$D$34,0))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20" s="13" t="s">
        <v>35</v>
      </c>
      <c r="G20" s="13" t="s">
        <v>51</v>
      </c>
      <c r="H20" s="13" t="s">
        <v>79</v>
      </c>
      <c r="I20" s="13">
        <v>2014</v>
      </c>
      <c r="J20" s="15">
        <v>0.70833333333333337</v>
      </c>
      <c r="K20" s="13" t="s">
        <v>66</v>
      </c>
      <c r="L20" s="16" t="s">
        <v>67</v>
      </c>
      <c r="M20" s="16" t="s">
        <v>68</v>
      </c>
      <c r="N20" s="13" t="s">
        <v>56</v>
      </c>
      <c r="O20" s="13" t="s">
        <v>45</v>
      </c>
      <c r="P20" s="13" t="s">
        <v>61</v>
      </c>
      <c r="Q20" s="17">
        <v>2</v>
      </c>
      <c r="R20" s="13" t="s">
        <v>41</v>
      </c>
      <c r="S20" s="17">
        <v>2</v>
      </c>
      <c r="T20" s="13" t="s">
        <v>42</v>
      </c>
      <c r="U20" s="13">
        <v>0</v>
      </c>
      <c r="V20" s="13" t="s">
        <v>43</v>
      </c>
      <c r="W20" s="13" t="s">
        <v>43</v>
      </c>
      <c r="X20" s="13" t="s">
        <v>45</v>
      </c>
      <c r="Y20" s="13" t="s">
        <v>61</v>
      </c>
      <c r="Z20" s="13">
        <v>2</v>
      </c>
      <c r="AA20" s="13">
        <v>7.5</v>
      </c>
      <c r="AB20" s="13">
        <v>10</v>
      </c>
      <c r="AC20" s="13">
        <v>8.8000000000000007</v>
      </c>
      <c r="AD20" s="13">
        <v>1.8</v>
      </c>
      <c r="AE20" s="13">
        <v>2</v>
      </c>
      <c r="AF20" s="13">
        <v>8.6</v>
      </c>
      <c r="AG20" s="13">
        <v>10</v>
      </c>
      <c r="AH20" s="13">
        <v>9.3000000000000007</v>
      </c>
      <c r="AI20" s="18">
        <v>0.96</v>
      </c>
    </row>
    <row r="21" spans="1:35" x14ac:dyDescent="0.3">
      <c r="A21" s="14" t="s">
        <v>47</v>
      </c>
      <c r="B21" s="13" t="s">
        <v>48</v>
      </c>
      <c r="C21" s="13" t="s">
        <v>49</v>
      </c>
      <c r="D21" s="13" t="s">
        <v>50</v>
      </c>
      <c r="E21" s="13" t="str">
        <f>INDEX(Sheet1!$E$23:$E$34,MATCH(A21,Sheet1!$D$23:$D$34,0))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21" s="13" t="s">
        <v>35</v>
      </c>
      <c r="G21" s="13" t="s">
        <v>51</v>
      </c>
      <c r="H21" s="13" t="s">
        <v>79</v>
      </c>
      <c r="I21" s="13">
        <v>2014</v>
      </c>
      <c r="J21" s="15">
        <v>0.35416666666666669</v>
      </c>
      <c r="K21" s="13" t="s">
        <v>69</v>
      </c>
      <c r="L21" s="16" t="s">
        <v>70</v>
      </c>
      <c r="M21" s="16" t="s">
        <v>71</v>
      </c>
      <c r="N21" s="13" t="s">
        <v>56</v>
      </c>
      <c r="O21" s="13" t="s">
        <v>57</v>
      </c>
      <c r="P21" s="13" t="s">
        <v>58</v>
      </c>
      <c r="Q21" s="17">
        <v>1</v>
      </c>
      <c r="R21" s="13" t="s">
        <v>41</v>
      </c>
      <c r="S21" s="17">
        <v>1</v>
      </c>
      <c r="T21" s="13" t="s">
        <v>42</v>
      </c>
      <c r="U21" s="13">
        <v>0</v>
      </c>
      <c r="V21" s="13" t="s">
        <v>43</v>
      </c>
      <c r="W21" s="13" t="s">
        <v>43</v>
      </c>
      <c r="X21" s="13" t="s">
        <v>57</v>
      </c>
      <c r="Y21" s="13" t="s">
        <v>58</v>
      </c>
      <c r="Z21" s="13">
        <v>1</v>
      </c>
      <c r="AA21" s="13">
        <v>2.2000000000000002</v>
      </c>
      <c r="AB21" s="13">
        <v>2.2000000000000002</v>
      </c>
      <c r="AC21" s="13">
        <v>2.2000000000000002</v>
      </c>
      <c r="AD21" s="13" t="s">
        <v>62</v>
      </c>
      <c r="AE21" s="13">
        <v>1</v>
      </c>
      <c r="AF21" s="13">
        <v>5.6</v>
      </c>
      <c r="AG21" s="13">
        <v>5.6</v>
      </c>
      <c r="AH21" s="13">
        <v>5.6</v>
      </c>
      <c r="AI21" s="18" t="s">
        <v>62</v>
      </c>
    </row>
    <row r="22" spans="1:35" x14ac:dyDescent="0.3">
      <c r="A22" s="14" t="s">
        <v>47</v>
      </c>
      <c r="B22" s="13" t="s">
        <v>48</v>
      </c>
      <c r="C22" s="13" t="s">
        <v>49</v>
      </c>
      <c r="D22" s="13" t="s">
        <v>50</v>
      </c>
      <c r="E22" s="13" t="str">
        <f>INDEX(Sheet1!$E$23:$E$34,MATCH(A22,Sheet1!$D$23:$D$34,0))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22" s="13" t="s">
        <v>35</v>
      </c>
      <c r="G22" s="13" t="s">
        <v>51</v>
      </c>
      <c r="H22" s="13" t="s">
        <v>79</v>
      </c>
      <c r="I22" s="13">
        <v>2014</v>
      </c>
      <c r="J22" s="15">
        <v>0.35416666666666669</v>
      </c>
      <c r="K22" s="13" t="s">
        <v>69</v>
      </c>
      <c r="L22" s="16" t="s">
        <v>70</v>
      </c>
      <c r="M22" s="16" t="s">
        <v>71</v>
      </c>
      <c r="N22" s="13" t="s">
        <v>56</v>
      </c>
      <c r="O22" s="13" t="s">
        <v>57</v>
      </c>
      <c r="P22" s="13" t="s">
        <v>58</v>
      </c>
      <c r="Q22" s="17">
        <v>1</v>
      </c>
      <c r="R22" s="13" t="s">
        <v>59</v>
      </c>
      <c r="S22" s="17">
        <v>8.0000000000000002E-3</v>
      </c>
      <c r="T22" s="13" t="s">
        <v>60</v>
      </c>
      <c r="U22" s="13">
        <v>0</v>
      </c>
      <c r="V22" s="13" t="s">
        <v>43</v>
      </c>
      <c r="W22" s="13" t="s">
        <v>43</v>
      </c>
      <c r="X22" s="13" t="s">
        <v>57</v>
      </c>
      <c r="Y22" s="13" t="s">
        <v>58</v>
      </c>
      <c r="Z22" s="13">
        <v>1</v>
      </c>
      <c r="AA22" s="13">
        <v>320</v>
      </c>
      <c r="AB22" s="13">
        <v>320</v>
      </c>
      <c r="AC22" s="13">
        <v>320</v>
      </c>
      <c r="AD22" s="13" t="s">
        <v>62</v>
      </c>
      <c r="AE22" s="13">
        <v>1</v>
      </c>
      <c r="AF22" s="13">
        <v>29.5</v>
      </c>
      <c r="AG22" s="13">
        <v>29.5</v>
      </c>
      <c r="AH22" s="13">
        <v>29.5</v>
      </c>
      <c r="AI22" s="18" t="s">
        <v>62</v>
      </c>
    </row>
    <row r="23" spans="1:35" x14ac:dyDescent="0.3">
      <c r="A23" s="14" t="s">
        <v>47</v>
      </c>
      <c r="B23" s="13" t="s">
        <v>48</v>
      </c>
      <c r="C23" s="13" t="s">
        <v>49</v>
      </c>
      <c r="D23" s="13" t="s">
        <v>50</v>
      </c>
      <c r="E23" s="13" t="str">
        <f>INDEX(Sheet1!$E$23:$E$34,MATCH(A23,Sheet1!$D$23:$D$34,0))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23" s="13" t="s">
        <v>35</v>
      </c>
      <c r="G23" s="13" t="s">
        <v>51</v>
      </c>
      <c r="H23" s="13" t="s">
        <v>79</v>
      </c>
      <c r="I23" s="13">
        <v>2014</v>
      </c>
      <c r="J23" s="15">
        <v>0.35416666666666669</v>
      </c>
      <c r="K23" s="13" t="s">
        <v>69</v>
      </c>
      <c r="L23" s="16" t="s">
        <v>70</v>
      </c>
      <c r="M23" s="16" t="s">
        <v>71</v>
      </c>
      <c r="N23" s="13" t="s">
        <v>56</v>
      </c>
      <c r="O23" s="13" t="s">
        <v>45</v>
      </c>
      <c r="P23" s="13" t="s">
        <v>61</v>
      </c>
      <c r="Q23" s="17">
        <v>1</v>
      </c>
      <c r="R23" s="13" t="s">
        <v>41</v>
      </c>
      <c r="S23" s="17">
        <v>1</v>
      </c>
      <c r="T23" s="13" t="s">
        <v>42</v>
      </c>
      <c r="U23" s="13">
        <v>0</v>
      </c>
      <c r="V23" s="13" t="s">
        <v>43</v>
      </c>
      <c r="W23" s="13" t="s">
        <v>43</v>
      </c>
      <c r="X23" s="13" t="s">
        <v>45</v>
      </c>
      <c r="Y23" s="13" t="s">
        <v>61</v>
      </c>
      <c r="Z23" s="13">
        <v>1</v>
      </c>
      <c r="AA23" s="13">
        <v>3.2</v>
      </c>
      <c r="AB23" s="13">
        <v>3.2</v>
      </c>
      <c r="AC23" s="13">
        <v>3.2</v>
      </c>
      <c r="AD23" s="13" t="s">
        <v>62</v>
      </c>
      <c r="AE23" s="13">
        <v>1</v>
      </c>
      <c r="AF23" s="13">
        <v>6.3</v>
      </c>
      <c r="AG23" s="13">
        <v>6.3</v>
      </c>
      <c r="AH23" s="13">
        <v>6.3</v>
      </c>
      <c r="AI23" s="18" t="s">
        <v>62</v>
      </c>
    </row>
    <row r="24" spans="1:35" x14ac:dyDescent="0.3">
      <c r="A24" s="14" t="s">
        <v>47</v>
      </c>
      <c r="B24" s="13" t="s">
        <v>48</v>
      </c>
      <c r="C24" s="13" t="s">
        <v>49</v>
      </c>
      <c r="D24" s="13" t="s">
        <v>50</v>
      </c>
      <c r="E24" s="13" t="str">
        <f>INDEX(Sheet1!$E$23:$E$34,MATCH(A24,Sheet1!$D$23:$D$34,0))</f>
        <v>Gaman Limno Studies Ltda. (2014) Informe de resutados de pesca de investigación asociado al permiso SUBPESCA, R.EX N°767/2014. Proyecto: Estudio Línea base de tipo limnológico del proyecto hidroeléctrico Chaica en el río Lenca, comuna de Puerto Montt, X Región. Mandante: Ingenium Civil S.A</v>
      </c>
      <c r="F24" s="13" t="s">
        <v>35</v>
      </c>
      <c r="G24" s="13" t="s">
        <v>51</v>
      </c>
      <c r="H24" s="13" t="s">
        <v>79</v>
      </c>
      <c r="I24" s="13">
        <v>2014</v>
      </c>
      <c r="J24" s="15">
        <v>0.375</v>
      </c>
      <c r="K24" s="13" t="s">
        <v>72</v>
      </c>
      <c r="L24" s="16" t="s">
        <v>73</v>
      </c>
      <c r="M24" s="16" t="s">
        <v>74</v>
      </c>
      <c r="N24" s="13" t="s">
        <v>56</v>
      </c>
      <c r="O24" s="13" t="s">
        <v>77</v>
      </c>
      <c r="P24" s="13" t="s">
        <v>78</v>
      </c>
      <c r="Q24" s="17">
        <v>2</v>
      </c>
      <c r="R24" s="13" t="s">
        <v>41</v>
      </c>
      <c r="S24" s="17">
        <v>2</v>
      </c>
      <c r="T24" s="13" t="s">
        <v>42</v>
      </c>
      <c r="U24" s="13">
        <v>0</v>
      </c>
      <c r="V24" s="13" t="s">
        <v>43</v>
      </c>
      <c r="W24" s="13" t="s">
        <v>43</v>
      </c>
      <c r="X24" s="13" t="s">
        <v>77</v>
      </c>
      <c r="Y24" s="13" t="s">
        <v>78</v>
      </c>
      <c r="Z24" s="13">
        <v>2</v>
      </c>
      <c r="AA24" s="13">
        <v>1.8</v>
      </c>
      <c r="AB24" s="13">
        <v>2.5</v>
      </c>
      <c r="AC24" s="13">
        <v>2.2000000000000002</v>
      </c>
      <c r="AD24" s="13">
        <v>0.49</v>
      </c>
      <c r="AE24" s="13">
        <v>2</v>
      </c>
      <c r="AF24" s="13">
        <v>7.1</v>
      </c>
      <c r="AG24" s="13">
        <v>7.8</v>
      </c>
      <c r="AH24" s="13">
        <v>7.5</v>
      </c>
      <c r="AI24" s="18">
        <v>0.49</v>
      </c>
    </row>
    <row r="25" spans="1:35" x14ac:dyDescent="0.3">
      <c r="A25" s="14" t="s">
        <v>80</v>
      </c>
      <c r="B25" s="13" t="s">
        <v>81</v>
      </c>
      <c r="C25" s="13" t="s">
        <v>82</v>
      </c>
      <c r="D25" s="13" t="s">
        <v>83</v>
      </c>
      <c r="E25" s="13" t="str">
        <f>INDEX(Sheet1!$E$23:$E$34,MATCH(A25,Sheet1!$D$23:$D$34,0))</f>
        <v>Claudia Verdugo Castro (Ecosistema) (2016) Informe de resutados de pesca de investigación asociado al permiso SUBPESCA, R.EX N°3232/2016. Proyecto: Piscicultura de recirculación lago Balmaceda, Sealand Aquaculture S.A.; respuesta observación 1.2.8 ICSARA n°1 (064/2016). Mandante: Sealand Aquaculture S.A.</v>
      </c>
      <c r="F25" s="13" t="s">
        <v>35</v>
      </c>
      <c r="G25" s="13" t="s">
        <v>84</v>
      </c>
      <c r="H25" s="13" t="s">
        <v>79</v>
      </c>
      <c r="I25" s="13">
        <v>2017</v>
      </c>
      <c r="J25" s="15" t="s">
        <v>62</v>
      </c>
      <c r="K25" s="13" t="s">
        <v>69</v>
      </c>
      <c r="L25" s="16">
        <v>675275</v>
      </c>
      <c r="M25" s="16">
        <v>4246233</v>
      </c>
      <c r="N25" s="13" t="s">
        <v>38</v>
      </c>
      <c r="O25" s="13" t="s">
        <v>85</v>
      </c>
      <c r="P25" s="13" t="s">
        <v>86</v>
      </c>
      <c r="Q25" s="17">
        <v>1</v>
      </c>
      <c r="R25" s="13" t="s">
        <v>87</v>
      </c>
      <c r="S25" s="17" t="s">
        <v>62</v>
      </c>
      <c r="T25" s="13" t="s">
        <v>62</v>
      </c>
      <c r="U25" s="13" t="s">
        <v>62</v>
      </c>
      <c r="V25" s="13" t="s">
        <v>62</v>
      </c>
      <c r="W25" s="13" t="s">
        <v>62</v>
      </c>
      <c r="X25" s="13" t="s">
        <v>85</v>
      </c>
      <c r="Y25" s="13" t="s">
        <v>86</v>
      </c>
      <c r="Z25" s="13" t="s">
        <v>62</v>
      </c>
      <c r="AA25" s="13" t="s">
        <v>62</v>
      </c>
      <c r="AB25" s="13" t="s">
        <v>62</v>
      </c>
      <c r="AC25" s="13" t="s">
        <v>62</v>
      </c>
      <c r="AD25" s="13" t="s">
        <v>62</v>
      </c>
      <c r="AE25" s="13" t="s">
        <v>62</v>
      </c>
      <c r="AF25" s="13" t="s">
        <v>62</v>
      </c>
      <c r="AG25" s="13" t="s">
        <v>62</v>
      </c>
      <c r="AH25" s="13" t="s">
        <v>62</v>
      </c>
      <c r="AI25" s="18" t="s">
        <v>62</v>
      </c>
    </row>
    <row r="26" spans="1:35" x14ac:dyDescent="0.3">
      <c r="A26" s="14" t="s">
        <v>88</v>
      </c>
      <c r="B26" s="13" t="s">
        <v>89</v>
      </c>
      <c r="C26" s="13" t="s">
        <v>90</v>
      </c>
      <c r="D26" s="13" t="s">
        <v>91</v>
      </c>
      <c r="E26" s="13" t="str">
        <f>INDEX(Sheet1!$E$23:$E$34,MATCH(A26,Sheet1!$D$23:$D$34,0))</f>
        <v>Icnova Ing Consultores (2018) Informe de resutados de pesca de investigación asociado al permiso SUBPESCA, R. EX N°388/2018. Proyecto: Diagnostico hidrobiológico de laguna Escondida y laguna Barrosa - declaración de impacto ambiental almacenamiento de agua de interior Mina Javiera en laguna Salitrosa, comuna de Chile Chico, XII Región de Aysén. Mandante: Compañía Minera Cerro Bayo Ltda.</v>
      </c>
      <c r="F26" s="13" t="s">
        <v>35</v>
      </c>
      <c r="G26" s="13" t="s">
        <v>92</v>
      </c>
      <c r="H26" s="13" t="s">
        <v>37</v>
      </c>
      <c r="I26" s="13">
        <v>2018</v>
      </c>
      <c r="J26" s="19" t="s">
        <v>62</v>
      </c>
      <c r="K26" s="13" t="s">
        <v>93</v>
      </c>
      <c r="L26" s="16" t="s">
        <v>94</v>
      </c>
      <c r="M26" s="16" t="s">
        <v>95</v>
      </c>
      <c r="N26" s="13" t="s">
        <v>38</v>
      </c>
      <c r="O26" s="13" t="s">
        <v>96</v>
      </c>
      <c r="P26" s="13" t="s">
        <v>97</v>
      </c>
      <c r="Q26" s="17">
        <v>35</v>
      </c>
      <c r="R26" s="13" t="s">
        <v>98</v>
      </c>
      <c r="S26" s="17" t="s">
        <v>62</v>
      </c>
      <c r="T26" s="13" t="s">
        <v>62</v>
      </c>
      <c r="U26" s="13" t="s">
        <v>62</v>
      </c>
      <c r="V26" s="13" t="s">
        <v>62</v>
      </c>
      <c r="W26" s="13" t="s">
        <v>62</v>
      </c>
      <c r="X26" s="13" t="s">
        <v>96</v>
      </c>
      <c r="Y26" s="13" t="s">
        <v>97</v>
      </c>
      <c r="Z26" s="13">
        <v>35</v>
      </c>
      <c r="AA26" s="13" t="s">
        <v>62</v>
      </c>
      <c r="AB26" s="13" t="s">
        <v>62</v>
      </c>
      <c r="AC26" s="13" t="s">
        <v>62</v>
      </c>
      <c r="AD26" s="13" t="s">
        <v>62</v>
      </c>
      <c r="AE26" s="13">
        <v>35</v>
      </c>
      <c r="AF26" s="13" t="s">
        <v>99</v>
      </c>
      <c r="AG26" s="13" t="s">
        <v>100</v>
      </c>
      <c r="AH26" s="13" t="s">
        <v>101</v>
      </c>
      <c r="AI26" s="18" t="s">
        <v>62</v>
      </c>
    </row>
    <row r="27" spans="1:35" x14ac:dyDescent="0.3">
      <c r="A27" s="14" t="s">
        <v>88</v>
      </c>
      <c r="B27" s="13" t="s">
        <v>89</v>
      </c>
      <c r="C27" s="13" t="s">
        <v>90</v>
      </c>
      <c r="D27" s="13" t="s">
        <v>91</v>
      </c>
      <c r="E27" s="13" t="str">
        <f>INDEX(Sheet1!$E$23:$E$34,MATCH(A27,Sheet1!$D$23:$D$34,0))</f>
        <v>Icnova Ing Consultores (2018) Informe de resutados de pesca de investigación asociado al permiso SUBPESCA, R. EX N°388/2018. Proyecto: Diagnostico hidrobiológico de laguna Escondida y laguna Barrosa - declaración de impacto ambiental almacenamiento de agua de interior Mina Javiera en laguna Salitrosa, comuna de Chile Chico, XII Región de Aysén. Mandante: Compañía Minera Cerro Bayo Ltda.</v>
      </c>
      <c r="F27" s="13" t="s">
        <v>35</v>
      </c>
      <c r="G27" s="13" t="s">
        <v>92</v>
      </c>
      <c r="H27" s="13" t="s">
        <v>37</v>
      </c>
      <c r="I27" s="13">
        <v>2018</v>
      </c>
      <c r="J27" s="19" t="s">
        <v>62</v>
      </c>
      <c r="K27" s="13" t="s">
        <v>102</v>
      </c>
      <c r="L27" s="16" t="s">
        <v>103</v>
      </c>
      <c r="M27" s="16" t="s">
        <v>104</v>
      </c>
      <c r="N27" s="13" t="s">
        <v>38</v>
      </c>
      <c r="O27" s="13" t="s">
        <v>96</v>
      </c>
      <c r="P27" s="13" t="s">
        <v>97</v>
      </c>
      <c r="Q27" s="17">
        <v>14</v>
      </c>
      <c r="R27" s="13" t="s">
        <v>98</v>
      </c>
      <c r="S27" s="17" t="s">
        <v>62</v>
      </c>
      <c r="T27" s="13" t="s">
        <v>62</v>
      </c>
      <c r="U27" s="13" t="s">
        <v>62</v>
      </c>
      <c r="V27" s="13" t="s">
        <v>62</v>
      </c>
      <c r="W27" s="13" t="s">
        <v>62</v>
      </c>
      <c r="X27" s="13" t="s">
        <v>96</v>
      </c>
      <c r="Y27" s="13" t="s">
        <v>97</v>
      </c>
      <c r="Z27" s="13">
        <v>14</v>
      </c>
      <c r="AA27" s="13" t="s">
        <v>62</v>
      </c>
      <c r="AB27" s="13" t="s">
        <v>62</v>
      </c>
      <c r="AC27" s="13" t="s">
        <v>62</v>
      </c>
      <c r="AD27" s="13" t="s">
        <v>62</v>
      </c>
      <c r="AE27" s="13">
        <v>14</v>
      </c>
      <c r="AF27" s="13" t="s">
        <v>105</v>
      </c>
      <c r="AG27" s="13">
        <v>11</v>
      </c>
      <c r="AH27" s="13" t="s">
        <v>106</v>
      </c>
      <c r="AI27" s="18" t="s">
        <v>62</v>
      </c>
    </row>
    <row r="28" spans="1:35" x14ac:dyDescent="0.3">
      <c r="A28" s="14" t="s">
        <v>107</v>
      </c>
      <c r="B28" s="13" t="s">
        <v>108</v>
      </c>
      <c r="C28" s="13" t="s">
        <v>109</v>
      </c>
      <c r="D28" s="13" t="s">
        <v>110</v>
      </c>
      <c r="E28" s="13" t="str">
        <f>INDEX(Sheet1!$E$23:$E$34,MATCH(A28,Sheet1!$D$23:$D$34,0))</f>
        <v>Icnova Ing (2018) Informe de resutados de pesca de investigación asociado al permiso SUBPESCA, R. EX N°838/2018. Proyecto: Caracterización limnológica asociado al proyecto de riego Magallanes, embalse río Porvenir, XII region de Magallanes y la Antártica Chilena. Mandante: Comisión Nacional de Riego.</v>
      </c>
      <c r="F28" s="13" t="s">
        <v>111</v>
      </c>
      <c r="G28" s="13" t="s">
        <v>112</v>
      </c>
      <c r="H28" s="13" t="s">
        <v>113</v>
      </c>
      <c r="I28" s="13">
        <v>2018</v>
      </c>
      <c r="J28" s="15">
        <v>0.6875</v>
      </c>
      <c r="K28" s="13" t="s">
        <v>114</v>
      </c>
      <c r="L28" s="16">
        <v>-53.312391485264499</v>
      </c>
      <c r="M28" s="16">
        <v>-70.246617573691793</v>
      </c>
      <c r="N28" s="13" t="s">
        <v>38</v>
      </c>
      <c r="O28" s="13" t="s">
        <v>115</v>
      </c>
      <c r="P28" s="13" t="s">
        <v>78</v>
      </c>
      <c r="Q28" s="17">
        <v>1</v>
      </c>
      <c r="R28" s="13" t="s">
        <v>41</v>
      </c>
      <c r="S28" s="17">
        <v>2</v>
      </c>
      <c r="T28" s="13" t="s">
        <v>42</v>
      </c>
      <c r="U28" s="13" t="s">
        <v>62</v>
      </c>
      <c r="V28" s="13" t="s">
        <v>43</v>
      </c>
      <c r="W28" s="13" t="s">
        <v>43</v>
      </c>
      <c r="X28" s="13" t="s">
        <v>115</v>
      </c>
      <c r="Y28" s="13" t="s">
        <v>78</v>
      </c>
      <c r="Z28" s="13">
        <v>1</v>
      </c>
      <c r="AA28" s="13">
        <v>10</v>
      </c>
      <c r="AB28" s="13">
        <v>10</v>
      </c>
      <c r="AC28" s="13">
        <v>10</v>
      </c>
      <c r="AD28" s="13">
        <v>0</v>
      </c>
      <c r="AE28" s="13">
        <v>1</v>
      </c>
      <c r="AF28" s="13">
        <v>8</v>
      </c>
      <c r="AG28" s="13">
        <v>8</v>
      </c>
      <c r="AH28" s="13">
        <v>8</v>
      </c>
      <c r="AI28" s="18">
        <v>0</v>
      </c>
    </row>
    <row r="29" spans="1:35" x14ac:dyDescent="0.3">
      <c r="A29" s="14" t="s">
        <v>107</v>
      </c>
      <c r="B29" s="13" t="s">
        <v>108</v>
      </c>
      <c r="C29" s="13" t="s">
        <v>109</v>
      </c>
      <c r="D29" s="13" t="s">
        <v>110</v>
      </c>
      <c r="E29" s="13" t="str">
        <f>INDEX(Sheet1!$E$23:$E$34,MATCH(A29,Sheet1!$D$23:$D$34,0))</f>
        <v>Icnova Ing (2018) Informe de resutados de pesca de investigación asociado al permiso SUBPESCA, R. EX N°838/2018. Proyecto: Caracterización limnológica asociado al proyecto de riego Magallanes, embalse río Porvenir, XII region de Magallanes y la Antártica Chilena. Mandante: Comisión Nacional de Riego.</v>
      </c>
      <c r="F29" s="13" t="s">
        <v>111</v>
      </c>
      <c r="G29" s="13" t="s">
        <v>112</v>
      </c>
      <c r="H29" s="13" t="s">
        <v>113</v>
      </c>
      <c r="I29" s="13">
        <v>2018</v>
      </c>
      <c r="J29" s="15">
        <v>0.52083333333333337</v>
      </c>
      <c r="K29" s="13" t="s">
        <v>116</v>
      </c>
      <c r="L29" s="16">
        <v>-53.372786284493699</v>
      </c>
      <c r="M29" s="16">
        <v>-70.259158218899103</v>
      </c>
      <c r="N29" s="13" t="s">
        <v>38</v>
      </c>
      <c r="O29" s="13" t="s">
        <v>115</v>
      </c>
      <c r="P29" s="13" t="s">
        <v>78</v>
      </c>
      <c r="Q29" s="17">
        <v>2</v>
      </c>
      <c r="R29" s="13" t="s">
        <v>41</v>
      </c>
      <c r="S29" s="17">
        <v>4</v>
      </c>
      <c r="T29" s="13" t="s">
        <v>42</v>
      </c>
      <c r="U29" s="13" t="s">
        <v>62</v>
      </c>
      <c r="V29" s="13" t="s">
        <v>43</v>
      </c>
      <c r="W29" s="13" t="s">
        <v>43</v>
      </c>
      <c r="X29" s="13" t="s">
        <v>115</v>
      </c>
      <c r="Y29" s="13" t="s">
        <v>78</v>
      </c>
      <c r="Z29" s="13">
        <v>2</v>
      </c>
      <c r="AA29" s="13">
        <v>0.5</v>
      </c>
      <c r="AB29" s="13">
        <v>0.8</v>
      </c>
      <c r="AC29" s="13">
        <v>0.65</v>
      </c>
      <c r="AD29" s="13">
        <v>0.21213203435596434</v>
      </c>
      <c r="AE29" s="13">
        <v>2</v>
      </c>
      <c r="AF29" s="13">
        <v>7</v>
      </c>
      <c r="AG29" s="13">
        <v>7</v>
      </c>
      <c r="AH29" s="13">
        <v>7</v>
      </c>
      <c r="AI29" s="18">
        <v>0</v>
      </c>
    </row>
    <row r="30" spans="1:35" x14ac:dyDescent="0.3">
      <c r="A30" s="14" t="s">
        <v>107</v>
      </c>
      <c r="B30" s="13" t="s">
        <v>108</v>
      </c>
      <c r="C30" s="13" t="s">
        <v>109</v>
      </c>
      <c r="D30" s="13" t="s">
        <v>110</v>
      </c>
      <c r="E30" s="13" t="str">
        <f>INDEX(Sheet1!$E$23:$E$34,MATCH(A30,Sheet1!$D$23:$D$34,0))</f>
        <v>Icnova Ing (2018) Informe de resutados de pesca de investigación asociado al permiso SUBPESCA, R. EX N°838/2018. Proyecto: Caracterización limnológica asociado al proyecto de riego Magallanes, embalse río Porvenir, XII region de Magallanes y la Antártica Chilena. Mandante: Comisión Nacional de Riego.</v>
      </c>
      <c r="F30" s="13" t="s">
        <v>111</v>
      </c>
      <c r="G30" s="13" t="s">
        <v>112</v>
      </c>
      <c r="H30" s="13" t="s">
        <v>113</v>
      </c>
      <c r="I30" s="13">
        <v>2018</v>
      </c>
      <c r="J30" s="15">
        <v>0.52083333333333337</v>
      </c>
      <c r="K30" s="13" t="s">
        <v>116</v>
      </c>
      <c r="L30" s="16">
        <v>-53.372786284493728</v>
      </c>
      <c r="M30" s="16">
        <v>-70.259158218899088</v>
      </c>
      <c r="N30" s="13" t="s">
        <v>38</v>
      </c>
      <c r="O30" s="13" t="s">
        <v>117</v>
      </c>
      <c r="P30" s="13" t="s">
        <v>118</v>
      </c>
      <c r="Q30" s="17">
        <v>1</v>
      </c>
      <c r="R30" s="13" t="s">
        <v>41</v>
      </c>
      <c r="S30" s="17">
        <v>2</v>
      </c>
      <c r="T30" s="13" t="s">
        <v>42</v>
      </c>
      <c r="U30" s="13" t="s">
        <v>62</v>
      </c>
      <c r="V30" s="13" t="s">
        <v>43</v>
      </c>
      <c r="W30" s="13" t="s">
        <v>43</v>
      </c>
      <c r="X30" s="13" t="s">
        <v>117</v>
      </c>
      <c r="Y30" s="13" t="s">
        <v>118</v>
      </c>
      <c r="Z30" s="13">
        <v>1</v>
      </c>
      <c r="AA30" s="13">
        <v>20</v>
      </c>
      <c r="AB30" s="13">
        <v>20</v>
      </c>
      <c r="AC30" s="13">
        <v>20</v>
      </c>
      <c r="AD30" s="13">
        <v>0</v>
      </c>
      <c r="AE30" s="13">
        <v>1</v>
      </c>
      <c r="AF30" s="13">
        <v>15</v>
      </c>
      <c r="AG30" s="13">
        <v>15</v>
      </c>
      <c r="AH30" s="13">
        <v>15</v>
      </c>
      <c r="AI30" s="18">
        <v>0</v>
      </c>
    </row>
    <row r="31" spans="1:35" x14ac:dyDescent="0.3">
      <c r="A31" s="14" t="s">
        <v>119</v>
      </c>
      <c r="B31" s="13" t="s">
        <v>120</v>
      </c>
      <c r="C31" s="13" t="s">
        <v>121</v>
      </c>
      <c r="D31" s="13" t="s">
        <v>122</v>
      </c>
      <c r="E31" s="13" t="str">
        <f>INDEX(Sheet1!$E$23:$E$34,MATCH(A31,Sheet1!$D$23:$D$34,0))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31" s="13" t="s">
        <v>35</v>
      </c>
      <c r="G31" s="13" t="s">
        <v>123</v>
      </c>
      <c r="H31" s="13" t="s">
        <v>124</v>
      </c>
      <c r="I31" s="13">
        <v>2019</v>
      </c>
      <c r="J31" s="20" t="s">
        <v>125</v>
      </c>
      <c r="K31" s="13" t="s">
        <v>126</v>
      </c>
      <c r="L31" s="16">
        <v>319773</v>
      </c>
      <c r="M31" s="16">
        <v>4139516</v>
      </c>
      <c r="N31" s="13" t="s">
        <v>127</v>
      </c>
      <c r="O31" s="13" t="s">
        <v>128</v>
      </c>
      <c r="P31" s="13" t="s">
        <v>129</v>
      </c>
      <c r="Q31" s="17">
        <v>4</v>
      </c>
      <c r="R31" s="13" t="s">
        <v>41</v>
      </c>
      <c r="S31" s="17">
        <v>2</v>
      </c>
      <c r="T31" s="13" t="s">
        <v>42</v>
      </c>
      <c r="U31" s="13">
        <v>0</v>
      </c>
      <c r="V31" s="13" t="s">
        <v>43</v>
      </c>
      <c r="X31" s="13" t="s">
        <v>128</v>
      </c>
      <c r="Y31" s="13" t="s">
        <v>129</v>
      </c>
      <c r="Z31" s="13">
        <v>4</v>
      </c>
      <c r="AE31" s="13">
        <v>4</v>
      </c>
      <c r="AI31" s="18"/>
    </row>
    <row r="32" spans="1:35" x14ac:dyDescent="0.3">
      <c r="A32" s="14" t="s">
        <v>119</v>
      </c>
      <c r="B32" s="13" t="s">
        <v>120</v>
      </c>
      <c r="C32" s="13" t="s">
        <v>121</v>
      </c>
      <c r="D32" s="13" t="s">
        <v>122</v>
      </c>
      <c r="E32" s="13" t="str">
        <f>INDEX(Sheet1!$E$23:$E$34,MATCH(A32,Sheet1!$D$23:$D$34,0))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32" s="13" t="s">
        <v>35</v>
      </c>
      <c r="G32" s="13" t="s">
        <v>123</v>
      </c>
      <c r="H32" s="13" t="s">
        <v>124</v>
      </c>
      <c r="I32" s="13">
        <v>2019</v>
      </c>
      <c r="J32" s="20" t="s">
        <v>125</v>
      </c>
      <c r="K32" s="13" t="s">
        <v>130</v>
      </c>
      <c r="L32" s="16">
        <v>319742</v>
      </c>
      <c r="M32" s="16">
        <v>4138844</v>
      </c>
      <c r="N32" s="13" t="s">
        <v>127</v>
      </c>
      <c r="O32" s="13" t="s">
        <v>128</v>
      </c>
      <c r="P32" s="13" t="s">
        <v>129</v>
      </c>
      <c r="Q32" s="17">
        <v>2</v>
      </c>
      <c r="R32" s="13" t="s">
        <v>41</v>
      </c>
      <c r="S32" s="17">
        <v>1</v>
      </c>
      <c r="T32" s="13" t="s">
        <v>42</v>
      </c>
      <c r="U32" s="13">
        <v>0</v>
      </c>
      <c r="V32" s="13" t="s">
        <v>43</v>
      </c>
      <c r="W32" s="13" t="s">
        <v>43</v>
      </c>
      <c r="X32" s="13" t="s">
        <v>128</v>
      </c>
      <c r="Y32" s="13" t="s">
        <v>129</v>
      </c>
      <c r="Z32" s="13">
        <v>2</v>
      </c>
      <c r="AE32" s="13">
        <v>2</v>
      </c>
      <c r="AI32" s="18"/>
    </row>
    <row r="33" spans="1:35" x14ac:dyDescent="0.3">
      <c r="A33" s="14" t="s">
        <v>119</v>
      </c>
      <c r="B33" s="13" t="s">
        <v>120</v>
      </c>
      <c r="C33" s="13" t="s">
        <v>121</v>
      </c>
      <c r="D33" s="13" t="s">
        <v>122</v>
      </c>
      <c r="E33" s="13" t="str">
        <f>INDEX(Sheet1!$E$23:$E$34,MATCH(A33,Sheet1!$D$23:$D$34,0))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33" s="13" t="s">
        <v>35</v>
      </c>
      <c r="G33" s="13" t="s">
        <v>123</v>
      </c>
      <c r="H33" s="13" t="s">
        <v>124</v>
      </c>
      <c r="I33" s="13">
        <v>2019</v>
      </c>
      <c r="J33" s="20" t="s">
        <v>125</v>
      </c>
      <c r="K33" s="13" t="s">
        <v>130</v>
      </c>
      <c r="L33" s="16">
        <v>319742</v>
      </c>
      <c r="M33" s="16">
        <v>4138844</v>
      </c>
      <c r="N33" s="13" t="s">
        <v>131</v>
      </c>
      <c r="O33" s="13" t="s">
        <v>45</v>
      </c>
      <c r="P33" s="13" t="s">
        <v>132</v>
      </c>
      <c r="Q33" s="17">
        <v>2</v>
      </c>
      <c r="R33" s="13" t="s">
        <v>41</v>
      </c>
      <c r="S33" s="17">
        <v>1</v>
      </c>
      <c r="T33" s="13" t="s">
        <v>42</v>
      </c>
      <c r="U33" s="13">
        <v>0</v>
      </c>
      <c r="V33" s="13" t="s">
        <v>43</v>
      </c>
      <c r="W33" s="13" t="s">
        <v>43</v>
      </c>
      <c r="X33" s="13" t="s">
        <v>45</v>
      </c>
      <c r="Y33" s="13" t="s">
        <v>132</v>
      </c>
      <c r="Z33" s="13">
        <v>2</v>
      </c>
      <c r="AE33" s="13">
        <v>2</v>
      </c>
      <c r="AI33" s="18"/>
    </row>
    <row r="34" spans="1:35" x14ac:dyDescent="0.3">
      <c r="A34" s="14" t="s">
        <v>119</v>
      </c>
      <c r="B34" s="13" t="s">
        <v>120</v>
      </c>
      <c r="C34" s="13" t="s">
        <v>121</v>
      </c>
      <c r="D34" s="13" t="s">
        <v>122</v>
      </c>
      <c r="E34" s="13" t="str">
        <f>INDEX(Sheet1!$E$23:$E$34,MATCH(A34,Sheet1!$D$23:$D$34,0))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34" s="13" t="s">
        <v>35</v>
      </c>
      <c r="G34" s="13" t="s">
        <v>123</v>
      </c>
      <c r="H34" s="13" t="s">
        <v>124</v>
      </c>
      <c r="I34" s="13">
        <v>2019</v>
      </c>
      <c r="J34" s="20" t="s">
        <v>125</v>
      </c>
      <c r="K34" s="13" t="s">
        <v>133</v>
      </c>
      <c r="L34" s="16">
        <v>322207</v>
      </c>
      <c r="M34" s="16">
        <v>4135138</v>
      </c>
      <c r="N34" s="13" t="s">
        <v>131</v>
      </c>
      <c r="O34" s="13" t="s">
        <v>45</v>
      </c>
      <c r="P34" s="13" t="s">
        <v>132</v>
      </c>
      <c r="Q34" s="17">
        <v>1</v>
      </c>
      <c r="R34" s="13" t="s">
        <v>41</v>
      </c>
      <c r="S34" s="17">
        <v>0.5</v>
      </c>
      <c r="T34" s="13" t="s">
        <v>42</v>
      </c>
      <c r="U34" s="13">
        <v>0</v>
      </c>
      <c r="V34" s="13" t="s">
        <v>43</v>
      </c>
      <c r="W34" s="13" t="s">
        <v>43</v>
      </c>
      <c r="X34" s="13" t="s">
        <v>45</v>
      </c>
      <c r="Y34" s="13" t="s">
        <v>132</v>
      </c>
      <c r="Z34" s="13">
        <v>1</v>
      </c>
      <c r="AE34" s="13">
        <v>1</v>
      </c>
      <c r="AI34" s="18"/>
    </row>
    <row r="35" spans="1:35" x14ac:dyDescent="0.3">
      <c r="A35" s="14" t="s">
        <v>119</v>
      </c>
      <c r="B35" s="13" t="s">
        <v>120</v>
      </c>
      <c r="C35" s="13" t="s">
        <v>121</v>
      </c>
      <c r="D35" s="13" t="s">
        <v>122</v>
      </c>
      <c r="E35" s="13" t="str">
        <f>INDEX(Sheet1!$E$23:$E$34,MATCH(A35,Sheet1!$D$23:$D$34,0))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35" s="13" t="s">
        <v>35</v>
      </c>
      <c r="G35" s="13" t="s">
        <v>123</v>
      </c>
      <c r="H35" s="13" t="s">
        <v>134</v>
      </c>
      <c r="I35" s="13">
        <v>2019</v>
      </c>
      <c r="J35" s="20" t="s">
        <v>125</v>
      </c>
      <c r="K35" s="13" t="s">
        <v>126</v>
      </c>
      <c r="L35" s="16">
        <v>319773</v>
      </c>
      <c r="M35" s="16">
        <v>4139516</v>
      </c>
      <c r="N35" s="13" t="s">
        <v>127</v>
      </c>
      <c r="O35" s="13" t="s">
        <v>128</v>
      </c>
      <c r="P35" s="13" t="s">
        <v>129</v>
      </c>
      <c r="Q35" s="17">
        <v>7</v>
      </c>
      <c r="R35" s="13" t="s">
        <v>41</v>
      </c>
      <c r="S35" s="17">
        <v>3.5</v>
      </c>
      <c r="T35" s="13" t="s">
        <v>42</v>
      </c>
      <c r="U35" s="13">
        <v>0</v>
      </c>
      <c r="V35" s="13" t="s">
        <v>43</v>
      </c>
      <c r="W35" s="13" t="s">
        <v>43</v>
      </c>
      <c r="X35" s="13" t="s">
        <v>128</v>
      </c>
      <c r="Y35" s="13" t="s">
        <v>129</v>
      </c>
      <c r="Z35" s="13">
        <v>7</v>
      </c>
      <c r="AE35" s="13">
        <v>7</v>
      </c>
      <c r="AI35" s="18"/>
    </row>
    <row r="36" spans="1:35" x14ac:dyDescent="0.3">
      <c r="A36" s="14" t="s">
        <v>119</v>
      </c>
      <c r="B36" s="13" t="s">
        <v>120</v>
      </c>
      <c r="C36" s="13" t="s">
        <v>121</v>
      </c>
      <c r="D36" s="13" t="s">
        <v>122</v>
      </c>
      <c r="E36" s="13" t="str">
        <f>INDEX(Sheet1!$E$23:$E$34,MATCH(A36,Sheet1!$D$23:$D$34,0))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36" s="13" t="s">
        <v>35</v>
      </c>
      <c r="G36" s="13" t="s">
        <v>123</v>
      </c>
      <c r="H36" s="13" t="s">
        <v>134</v>
      </c>
      <c r="I36" s="13">
        <v>2019</v>
      </c>
      <c r="J36" s="20" t="s">
        <v>125</v>
      </c>
      <c r="K36" s="13" t="s">
        <v>130</v>
      </c>
      <c r="L36" s="16">
        <v>319742</v>
      </c>
      <c r="M36" s="16">
        <v>4138844</v>
      </c>
      <c r="N36" s="13" t="s">
        <v>131</v>
      </c>
      <c r="O36" s="13" t="s">
        <v>45</v>
      </c>
      <c r="P36" s="13" t="s">
        <v>132</v>
      </c>
      <c r="Q36" s="17">
        <v>3</v>
      </c>
      <c r="R36" s="13" t="s">
        <v>41</v>
      </c>
      <c r="S36" s="17">
        <v>1.5</v>
      </c>
      <c r="T36" s="13" t="s">
        <v>42</v>
      </c>
      <c r="U36" s="13">
        <v>0</v>
      </c>
      <c r="V36" s="13" t="s">
        <v>43</v>
      </c>
      <c r="W36" s="13" t="s">
        <v>43</v>
      </c>
      <c r="X36" s="13" t="s">
        <v>45</v>
      </c>
      <c r="Y36" s="13" t="s">
        <v>132</v>
      </c>
      <c r="Z36" s="13">
        <v>3</v>
      </c>
      <c r="AE36" s="13">
        <v>3</v>
      </c>
      <c r="AI36" s="18"/>
    </row>
    <row r="37" spans="1:35" x14ac:dyDescent="0.3">
      <c r="A37" s="14" t="s">
        <v>119</v>
      </c>
      <c r="B37" s="13" t="s">
        <v>120</v>
      </c>
      <c r="C37" s="13" t="s">
        <v>121</v>
      </c>
      <c r="D37" s="13" t="s">
        <v>122</v>
      </c>
      <c r="E37" s="13" t="str">
        <f>INDEX(Sheet1!$E$23:$E$34,MATCH(A37,Sheet1!$D$23:$D$34,0))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37" s="13" t="s">
        <v>35</v>
      </c>
      <c r="G37" s="13" t="s">
        <v>123</v>
      </c>
      <c r="H37" s="13" t="s">
        <v>134</v>
      </c>
      <c r="I37" s="13">
        <v>2019</v>
      </c>
      <c r="J37" s="20" t="s">
        <v>125</v>
      </c>
      <c r="K37" s="13" t="s">
        <v>135</v>
      </c>
      <c r="L37" s="16">
        <v>320743</v>
      </c>
      <c r="M37" s="16">
        <v>4136965</v>
      </c>
      <c r="N37" s="13" t="s">
        <v>131</v>
      </c>
      <c r="O37" s="13" t="s">
        <v>45</v>
      </c>
      <c r="P37" s="13" t="s">
        <v>132</v>
      </c>
      <c r="Q37" s="17">
        <v>2</v>
      </c>
      <c r="R37" s="13" t="s">
        <v>41</v>
      </c>
      <c r="S37" s="17">
        <v>1</v>
      </c>
      <c r="T37" s="13" t="s">
        <v>42</v>
      </c>
      <c r="U37" s="13">
        <v>0</v>
      </c>
      <c r="V37" s="13" t="s">
        <v>43</v>
      </c>
      <c r="W37" s="13" t="s">
        <v>43</v>
      </c>
      <c r="X37" s="13" t="s">
        <v>45</v>
      </c>
      <c r="Y37" s="13" t="s">
        <v>132</v>
      </c>
      <c r="Z37" s="13">
        <v>2</v>
      </c>
      <c r="AE37" s="13">
        <v>2</v>
      </c>
      <c r="AI37" s="18"/>
    </row>
    <row r="38" spans="1:35" x14ac:dyDescent="0.3">
      <c r="A38" s="14" t="s">
        <v>119</v>
      </c>
      <c r="B38" s="13" t="s">
        <v>120</v>
      </c>
      <c r="C38" s="13" t="s">
        <v>121</v>
      </c>
      <c r="D38" s="13" t="s">
        <v>122</v>
      </c>
      <c r="E38" s="13" t="str">
        <f>INDEX(Sheet1!$E$23:$E$34,MATCH(A38,Sheet1!$D$23:$D$34,0))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38" s="13" t="s">
        <v>35</v>
      </c>
      <c r="G38" s="13" t="s">
        <v>123</v>
      </c>
      <c r="H38" s="13" t="s">
        <v>37</v>
      </c>
      <c r="I38" s="13">
        <v>2020</v>
      </c>
      <c r="J38" s="20" t="s">
        <v>125</v>
      </c>
      <c r="K38" s="13" t="s">
        <v>126</v>
      </c>
      <c r="L38" s="16">
        <v>319773</v>
      </c>
      <c r="M38" s="16">
        <v>4139516</v>
      </c>
      <c r="N38" s="13" t="s">
        <v>131</v>
      </c>
      <c r="O38" s="13" t="s">
        <v>45</v>
      </c>
      <c r="P38" s="13" t="s">
        <v>132</v>
      </c>
      <c r="Q38" s="17">
        <v>11</v>
      </c>
      <c r="R38" s="13" t="s">
        <v>41</v>
      </c>
      <c r="S38" s="17">
        <v>5.5</v>
      </c>
      <c r="T38" s="13" t="s">
        <v>42</v>
      </c>
      <c r="U38" s="13">
        <v>2</v>
      </c>
      <c r="V38" s="13" t="s">
        <v>43</v>
      </c>
      <c r="W38" s="13" t="s">
        <v>43</v>
      </c>
      <c r="X38" s="13" t="s">
        <v>45</v>
      </c>
      <c r="Y38" s="13" t="s">
        <v>132</v>
      </c>
      <c r="Z38" s="13">
        <v>11</v>
      </c>
      <c r="AE38" s="13">
        <v>11</v>
      </c>
      <c r="AI38" s="18"/>
    </row>
    <row r="39" spans="1:35" x14ac:dyDescent="0.3">
      <c r="A39" s="14" t="s">
        <v>119</v>
      </c>
      <c r="B39" s="13" t="s">
        <v>120</v>
      </c>
      <c r="C39" s="13" t="s">
        <v>121</v>
      </c>
      <c r="D39" s="13" t="s">
        <v>122</v>
      </c>
      <c r="E39" s="13" t="str">
        <f>INDEX(Sheet1!$E$23:$E$34,MATCH(A39,Sheet1!$D$23:$D$34,0))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39" s="13" t="s">
        <v>35</v>
      </c>
      <c r="G39" s="13" t="s">
        <v>123</v>
      </c>
      <c r="H39" s="13" t="s">
        <v>37</v>
      </c>
      <c r="I39" s="13">
        <v>2020</v>
      </c>
      <c r="J39" s="20" t="s">
        <v>125</v>
      </c>
      <c r="K39" s="13" t="s">
        <v>126</v>
      </c>
      <c r="L39" s="16">
        <v>319773</v>
      </c>
      <c r="M39" s="16">
        <v>4139516</v>
      </c>
      <c r="N39" s="13" t="s">
        <v>127</v>
      </c>
      <c r="O39" s="13" t="s">
        <v>128</v>
      </c>
      <c r="P39" s="13" t="s">
        <v>129</v>
      </c>
      <c r="Q39" s="17">
        <v>1</v>
      </c>
      <c r="R39" s="13" t="s">
        <v>41</v>
      </c>
      <c r="S39" s="17">
        <v>0.5</v>
      </c>
      <c r="T39" s="13" t="s">
        <v>42</v>
      </c>
      <c r="U39" s="13">
        <v>0</v>
      </c>
      <c r="V39" s="13" t="s">
        <v>43</v>
      </c>
      <c r="W39" s="13" t="s">
        <v>43</v>
      </c>
      <c r="X39" s="13" t="s">
        <v>128</v>
      </c>
      <c r="Y39" s="13" t="s">
        <v>129</v>
      </c>
      <c r="Z39" s="13">
        <v>1</v>
      </c>
      <c r="AE39" s="13">
        <v>1</v>
      </c>
      <c r="AI39" s="18"/>
    </row>
    <row r="40" spans="1:35" x14ac:dyDescent="0.3">
      <c r="A40" s="14" t="s">
        <v>119</v>
      </c>
      <c r="B40" s="13" t="s">
        <v>120</v>
      </c>
      <c r="C40" s="13" t="s">
        <v>121</v>
      </c>
      <c r="D40" s="13" t="s">
        <v>122</v>
      </c>
      <c r="E40" s="13" t="str">
        <f>INDEX(Sheet1!$E$23:$E$34,MATCH(A40,Sheet1!$D$23:$D$34,0))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40" s="13" t="s">
        <v>35</v>
      </c>
      <c r="G40" s="13" t="s">
        <v>123</v>
      </c>
      <c r="H40" s="13" t="s">
        <v>37</v>
      </c>
      <c r="I40" s="13">
        <v>2020</v>
      </c>
      <c r="J40" s="20" t="s">
        <v>125</v>
      </c>
      <c r="K40" s="13" t="s">
        <v>130</v>
      </c>
      <c r="L40" s="16">
        <v>319742</v>
      </c>
      <c r="M40" s="16">
        <v>4138844</v>
      </c>
      <c r="N40" s="13" t="s">
        <v>131</v>
      </c>
      <c r="O40" s="13" t="s">
        <v>45</v>
      </c>
      <c r="P40" s="13" t="s">
        <v>132</v>
      </c>
      <c r="Q40" s="17">
        <v>8</v>
      </c>
      <c r="R40" s="13" t="s">
        <v>41</v>
      </c>
      <c r="S40" s="17">
        <v>4</v>
      </c>
      <c r="T40" s="13" t="s">
        <v>42</v>
      </c>
      <c r="U40" s="13">
        <v>1</v>
      </c>
      <c r="V40" s="13" t="s">
        <v>43</v>
      </c>
      <c r="W40" s="13" t="s">
        <v>43</v>
      </c>
      <c r="X40" s="13" t="s">
        <v>45</v>
      </c>
      <c r="Y40" s="13" t="s">
        <v>132</v>
      </c>
      <c r="Z40" s="13">
        <v>8</v>
      </c>
      <c r="AE40" s="13">
        <v>8</v>
      </c>
      <c r="AI40" s="18"/>
    </row>
    <row r="41" spans="1:35" x14ac:dyDescent="0.3">
      <c r="A41" s="14" t="s">
        <v>119</v>
      </c>
      <c r="B41" s="13" t="s">
        <v>120</v>
      </c>
      <c r="C41" s="13" t="s">
        <v>121</v>
      </c>
      <c r="D41" s="13" t="s">
        <v>122</v>
      </c>
      <c r="E41" s="13" t="str">
        <f>INDEX(Sheet1!$E$23:$E$34,MATCH(A41,Sheet1!$D$23:$D$34,0))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41" s="13" t="s">
        <v>35</v>
      </c>
      <c r="G41" s="13" t="s">
        <v>123</v>
      </c>
      <c r="H41" s="13" t="s">
        <v>37</v>
      </c>
      <c r="I41" s="13">
        <v>2020</v>
      </c>
      <c r="J41" s="20" t="s">
        <v>125</v>
      </c>
      <c r="K41" s="13" t="s">
        <v>135</v>
      </c>
      <c r="L41" s="16">
        <v>320743</v>
      </c>
      <c r="M41" s="16">
        <v>4136965</v>
      </c>
      <c r="N41" s="13" t="s">
        <v>131</v>
      </c>
      <c r="O41" s="13" t="s">
        <v>45</v>
      </c>
      <c r="P41" s="13" t="s">
        <v>132</v>
      </c>
      <c r="Q41" s="17">
        <v>4</v>
      </c>
      <c r="R41" s="13" t="s">
        <v>41</v>
      </c>
      <c r="S41" s="17">
        <v>2</v>
      </c>
      <c r="T41" s="13" t="s">
        <v>42</v>
      </c>
      <c r="U41" s="13">
        <v>0</v>
      </c>
      <c r="V41" s="13" t="s">
        <v>43</v>
      </c>
      <c r="W41" s="13" t="s">
        <v>43</v>
      </c>
      <c r="X41" s="13" t="s">
        <v>45</v>
      </c>
      <c r="Y41" s="13" t="s">
        <v>132</v>
      </c>
      <c r="Z41" s="13">
        <v>4</v>
      </c>
      <c r="AE41" s="13">
        <v>4</v>
      </c>
      <c r="AI41" s="18"/>
    </row>
    <row r="42" spans="1:35" x14ac:dyDescent="0.3">
      <c r="A42" s="14" t="s">
        <v>119</v>
      </c>
      <c r="B42" s="13" t="s">
        <v>120</v>
      </c>
      <c r="C42" s="13" t="s">
        <v>121</v>
      </c>
      <c r="D42" s="13" t="s">
        <v>122</v>
      </c>
      <c r="E42" s="13" t="str">
        <f>INDEX(Sheet1!$E$23:$E$34,MATCH(A42,Sheet1!$D$23:$D$34,0))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42" s="13" t="s">
        <v>35</v>
      </c>
      <c r="G42" s="13" t="s">
        <v>123</v>
      </c>
      <c r="H42" s="13" t="s">
        <v>37</v>
      </c>
      <c r="I42" s="13">
        <v>2020</v>
      </c>
      <c r="J42" s="20" t="s">
        <v>125</v>
      </c>
      <c r="K42" s="13" t="s">
        <v>133</v>
      </c>
      <c r="L42" s="16">
        <v>322207</v>
      </c>
      <c r="M42" s="16">
        <v>4135138</v>
      </c>
      <c r="N42" s="13" t="s">
        <v>131</v>
      </c>
      <c r="O42" s="13" t="s">
        <v>45</v>
      </c>
      <c r="P42" s="13" t="s">
        <v>132</v>
      </c>
      <c r="Q42" s="17">
        <v>2</v>
      </c>
      <c r="R42" s="13" t="s">
        <v>41</v>
      </c>
      <c r="S42" s="17">
        <v>1</v>
      </c>
      <c r="T42" s="13" t="s">
        <v>42</v>
      </c>
      <c r="U42" s="13">
        <v>0</v>
      </c>
      <c r="V42" s="13" t="s">
        <v>43</v>
      </c>
      <c r="W42" s="13" t="s">
        <v>43</v>
      </c>
      <c r="X42" s="13" t="s">
        <v>45</v>
      </c>
      <c r="Y42" s="13" t="s">
        <v>132</v>
      </c>
      <c r="Z42" s="13">
        <v>2</v>
      </c>
      <c r="AE42" s="13">
        <v>2</v>
      </c>
      <c r="AI42" s="18"/>
    </row>
    <row r="43" spans="1:35" x14ac:dyDescent="0.3">
      <c r="A43" s="14" t="s">
        <v>119</v>
      </c>
      <c r="B43" s="13" t="s">
        <v>120</v>
      </c>
      <c r="C43" s="13" t="s">
        <v>121</v>
      </c>
      <c r="D43" s="13" t="s">
        <v>122</v>
      </c>
      <c r="E43" s="13" t="str">
        <f>INDEX(Sheet1!$E$23:$E$34,MATCH(A43,Sheet1!$D$23:$D$34,0))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43" s="13" t="s">
        <v>35</v>
      </c>
      <c r="G43" s="13" t="s">
        <v>136</v>
      </c>
      <c r="H43" s="13" t="s">
        <v>137</v>
      </c>
      <c r="I43" s="13">
        <v>2020</v>
      </c>
      <c r="J43" s="20" t="s">
        <v>125</v>
      </c>
      <c r="K43" s="13" t="s">
        <v>138</v>
      </c>
      <c r="L43" s="16">
        <v>324779</v>
      </c>
      <c r="M43" s="16">
        <v>4137032</v>
      </c>
      <c r="N43" s="13" t="s">
        <v>131</v>
      </c>
      <c r="O43" s="13" t="s">
        <v>45</v>
      </c>
      <c r="P43" s="13" t="s">
        <v>132</v>
      </c>
      <c r="Q43" s="17">
        <v>6</v>
      </c>
      <c r="R43" s="13" t="s">
        <v>41</v>
      </c>
      <c r="S43" s="17">
        <v>3</v>
      </c>
      <c r="T43" s="13" t="s">
        <v>42</v>
      </c>
      <c r="U43" s="13">
        <v>0</v>
      </c>
      <c r="V43" s="13" t="s">
        <v>43</v>
      </c>
      <c r="W43" s="13" t="s">
        <v>43</v>
      </c>
      <c r="X43" s="13" t="s">
        <v>45</v>
      </c>
      <c r="Y43" s="13" t="s">
        <v>132</v>
      </c>
      <c r="Z43" s="13">
        <v>6</v>
      </c>
      <c r="AE43" s="13">
        <v>6</v>
      </c>
      <c r="AI43" s="18"/>
    </row>
    <row r="44" spans="1:35" x14ac:dyDescent="0.3">
      <c r="A44" s="14" t="s">
        <v>119</v>
      </c>
      <c r="B44" s="13" t="s">
        <v>120</v>
      </c>
      <c r="C44" s="13" t="s">
        <v>121</v>
      </c>
      <c r="D44" s="13" t="s">
        <v>122</v>
      </c>
      <c r="E44" s="13" t="str">
        <f>INDEX(Sheet1!$E$23:$E$34,MATCH(A44,Sheet1!$D$23:$D$34,0))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44" s="13" t="s">
        <v>35</v>
      </c>
      <c r="G44" s="13" t="s">
        <v>136</v>
      </c>
      <c r="H44" s="13" t="s">
        <v>137</v>
      </c>
      <c r="I44" s="13">
        <v>2020</v>
      </c>
      <c r="J44" s="20" t="s">
        <v>125</v>
      </c>
      <c r="K44" s="13" t="s">
        <v>138</v>
      </c>
      <c r="L44" s="16">
        <v>324779</v>
      </c>
      <c r="M44" s="16">
        <v>4137032</v>
      </c>
      <c r="N44" s="13" t="s">
        <v>127</v>
      </c>
      <c r="O44" s="13" t="s">
        <v>128</v>
      </c>
      <c r="P44" s="13" t="s">
        <v>129</v>
      </c>
      <c r="Q44" s="17">
        <v>7</v>
      </c>
      <c r="R44" s="13" t="s">
        <v>41</v>
      </c>
      <c r="S44" s="17">
        <v>3.5</v>
      </c>
      <c r="T44" s="13" t="s">
        <v>42</v>
      </c>
      <c r="U44" s="13">
        <v>0</v>
      </c>
      <c r="V44" s="13" t="s">
        <v>43</v>
      </c>
      <c r="W44" s="13" t="s">
        <v>43</v>
      </c>
      <c r="X44" s="13" t="s">
        <v>128</v>
      </c>
      <c r="Y44" s="13" t="s">
        <v>129</v>
      </c>
      <c r="Z44" s="13">
        <v>7</v>
      </c>
      <c r="AE44" s="13">
        <v>7</v>
      </c>
      <c r="AI44" s="18"/>
    </row>
    <row r="45" spans="1:35" x14ac:dyDescent="0.3">
      <c r="A45" s="14" t="s">
        <v>119</v>
      </c>
      <c r="B45" s="13" t="s">
        <v>120</v>
      </c>
      <c r="C45" s="13" t="s">
        <v>121</v>
      </c>
      <c r="D45" s="13" t="s">
        <v>122</v>
      </c>
      <c r="E45" s="13" t="str">
        <f>INDEX(Sheet1!$E$23:$E$34,MATCH(A45,Sheet1!$D$23:$D$34,0))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45" s="13" t="s">
        <v>35</v>
      </c>
      <c r="G45" s="13" t="s">
        <v>136</v>
      </c>
      <c r="H45" s="13" t="s">
        <v>139</v>
      </c>
      <c r="I45" s="13">
        <v>2020</v>
      </c>
      <c r="J45" s="20" t="s">
        <v>125</v>
      </c>
      <c r="K45" s="13" t="s">
        <v>138</v>
      </c>
      <c r="L45" s="16">
        <v>324779</v>
      </c>
      <c r="M45" s="16">
        <v>4137032</v>
      </c>
      <c r="N45" s="13" t="s">
        <v>127</v>
      </c>
      <c r="O45" s="13" t="s">
        <v>128</v>
      </c>
      <c r="P45" s="13" t="s">
        <v>129</v>
      </c>
      <c r="Q45" s="17">
        <v>1</v>
      </c>
      <c r="R45" s="13" t="s">
        <v>41</v>
      </c>
      <c r="S45" s="17">
        <v>0.5</v>
      </c>
      <c r="T45" s="13" t="s">
        <v>42</v>
      </c>
      <c r="U45" s="13">
        <v>0</v>
      </c>
      <c r="V45" s="13" t="s">
        <v>43</v>
      </c>
      <c r="W45" s="13" t="s">
        <v>43</v>
      </c>
      <c r="X45" s="13" t="s">
        <v>128</v>
      </c>
      <c r="Y45" s="13" t="s">
        <v>129</v>
      </c>
      <c r="Z45" s="13">
        <v>1</v>
      </c>
      <c r="AE45" s="13">
        <v>1</v>
      </c>
      <c r="AI45" s="18"/>
    </row>
    <row r="46" spans="1:35" x14ac:dyDescent="0.3">
      <c r="A46" s="14" t="s">
        <v>119</v>
      </c>
      <c r="B46" s="13" t="s">
        <v>120</v>
      </c>
      <c r="C46" s="13" t="s">
        <v>121</v>
      </c>
      <c r="D46" s="13" t="s">
        <v>122</v>
      </c>
      <c r="E46" s="13" t="str">
        <f>INDEX(Sheet1!$E$23:$E$34,MATCH(A46,Sheet1!$D$23:$D$34,0))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46" s="13" t="s">
        <v>35</v>
      </c>
      <c r="G46" s="13" t="s">
        <v>136</v>
      </c>
      <c r="H46" s="13" t="s">
        <v>134</v>
      </c>
      <c r="I46" s="13">
        <v>2020</v>
      </c>
      <c r="J46" s="20" t="s">
        <v>125</v>
      </c>
      <c r="K46" s="13" t="s">
        <v>138</v>
      </c>
      <c r="L46" s="16">
        <v>324779</v>
      </c>
      <c r="M46" s="16">
        <v>4137032</v>
      </c>
      <c r="N46" s="13" t="s">
        <v>127</v>
      </c>
      <c r="O46" s="13" t="s">
        <v>128</v>
      </c>
      <c r="P46" s="13" t="s">
        <v>129</v>
      </c>
      <c r="Q46" s="17">
        <v>32</v>
      </c>
      <c r="R46" s="13" t="s">
        <v>41</v>
      </c>
      <c r="S46" s="17">
        <v>16</v>
      </c>
      <c r="T46" s="13" t="s">
        <v>42</v>
      </c>
      <c r="U46" s="13">
        <v>1</v>
      </c>
      <c r="V46" s="13" t="s">
        <v>43</v>
      </c>
      <c r="W46" s="13" t="s">
        <v>43</v>
      </c>
      <c r="X46" s="13" t="s">
        <v>128</v>
      </c>
      <c r="Y46" s="13" t="s">
        <v>129</v>
      </c>
      <c r="Z46" s="13">
        <v>32</v>
      </c>
      <c r="AE46" s="13">
        <v>32</v>
      </c>
      <c r="AI46" s="18"/>
    </row>
    <row r="47" spans="1:35" x14ac:dyDescent="0.3">
      <c r="A47" s="14" t="s">
        <v>119</v>
      </c>
      <c r="B47" s="13" t="s">
        <v>120</v>
      </c>
      <c r="C47" s="13" t="s">
        <v>121</v>
      </c>
      <c r="D47" s="13" t="s">
        <v>122</v>
      </c>
      <c r="E47" s="13" t="str">
        <f>INDEX(Sheet1!$E$23:$E$34,MATCH(A47,Sheet1!$D$23:$D$34,0))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47" s="13" t="s">
        <v>35</v>
      </c>
      <c r="G47" s="13" t="s">
        <v>136</v>
      </c>
      <c r="H47" s="13" t="s">
        <v>134</v>
      </c>
      <c r="I47" s="13">
        <v>2020</v>
      </c>
      <c r="J47" s="20" t="s">
        <v>125</v>
      </c>
      <c r="K47" s="13" t="s">
        <v>138</v>
      </c>
      <c r="L47" s="16">
        <v>324779</v>
      </c>
      <c r="M47" s="16">
        <v>4137032</v>
      </c>
      <c r="N47" s="13" t="s">
        <v>131</v>
      </c>
      <c r="O47" s="13" t="s">
        <v>45</v>
      </c>
      <c r="P47" s="13" t="s">
        <v>132</v>
      </c>
      <c r="Q47" s="17">
        <v>2</v>
      </c>
      <c r="R47" s="13" t="s">
        <v>41</v>
      </c>
      <c r="S47" s="17">
        <v>1</v>
      </c>
      <c r="T47" s="13" t="s">
        <v>42</v>
      </c>
      <c r="U47" s="13">
        <v>0</v>
      </c>
      <c r="V47" s="13" t="s">
        <v>43</v>
      </c>
      <c r="W47" s="13" t="s">
        <v>43</v>
      </c>
      <c r="X47" s="13" t="s">
        <v>45</v>
      </c>
      <c r="Y47" s="13" t="s">
        <v>132</v>
      </c>
      <c r="Z47" s="13">
        <v>2</v>
      </c>
      <c r="AE47" s="13">
        <v>2</v>
      </c>
      <c r="AI47" s="18"/>
    </row>
    <row r="48" spans="1:35" x14ac:dyDescent="0.3">
      <c r="A48" s="14" t="s">
        <v>119</v>
      </c>
      <c r="B48" s="13" t="s">
        <v>120</v>
      </c>
      <c r="C48" s="13" t="s">
        <v>121</v>
      </c>
      <c r="D48" s="13" t="s">
        <v>122</v>
      </c>
      <c r="E48" s="13" t="str">
        <f>INDEX(Sheet1!$E$23:$E$34,MATCH(A48,Sheet1!$D$23:$D$34,0))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48" s="13" t="s">
        <v>35</v>
      </c>
      <c r="G48" s="13" t="s">
        <v>136</v>
      </c>
      <c r="H48" s="13" t="s">
        <v>37</v>
      </c>
      <c r="I48" s="13">
        <v>2021</v>
      </c>
      <c r="J48" s="20" t="s">
        <v>125</v>
      </c>
      <c r="K48" s="13" t="s">
        <v>138</v>
      </c>
      <c r="L48" s="16">
        <v>324779</v>
      </c>
      <c r="M48" s="16">
        <v>4137032</v>
      </c>
      <c r="N48" s="13" t="s">
        <v>127</v>
      </c>
      <c r="O48" s="13" t="s">
        <v>128</v>
      </c>
      <c r="P48" s="13" t="s">
        <v>129</v>
      </c>
      <c r="Q48" s="17">
        <v>1</v>
      </c>
      <c r="R48" s="13" t="s">
        <v>41</v>
      </c>
      <c r="S48" s="17">
        <v>0.5</v>
      </c>
      <c r="T48" s="13" t="s">
        <v>42</v>
      </c>
      <c r="U48" s="13">
        <v>0</v>
      </c>
      <c r="V48" s="13" t="s">
        <v>43</v>
      </c>
      <c r="W48" s="13" t="s">
        <v>43</v>
      </c>
      <c r="X48" s="13" t="s">
        <v>128</v>
      </c>
      <c r="Y48" s="13" t="s">
        <v>129</v>
      </c>
      <c r="Z48" s="13">
        <v>1</v>
      </c>
      <c r="AE48" s="13">
        <v>1</v>
      </c>
      <c r="AI48" s="18"/>
    </row>
    <row r="49" spans="1:35" x14ac:dyDescent="0.3">
      <c r="A49" s="14" t="s">
        <v>119</v>
      </c>
      <c r="B49" s="13" t="s">
        <v>120</v>
      </c>
      <c r="C49" s="13" t="s">
        <v>121</v>
      </c>
      <c r="D49" s="13" t="s">
        <v>122</v>
      </c>
      <c r="E49" s="13" t="str">
        <f>INDEX(Sheet1!$E$23:$E$34,MATCH(A49,Sheet1!$D$23:$D$34,0))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49" s="13" t="s">
        <v>35</v>
      </c>
      <c r="G49" s="13" t="s">
        <v>136</v>
      </c>
      <c r="H49" s="13" t="s">
        <v>113</v>
      </c>
      <c r="I49" s="13">
        <v>2021</v>
      </c>
      <c r="J49" s="20" t="s">
        <v>125</v>
      </c>
      <c r="K49" s="13" t="s">
        <v>138</v>
      </c>
      <c r="L49" s="16">
        <v>324779</v>
      </c>
      <c r="M49" s="16">
        <v>4137032</v>
      </c>
      <c r="N49" s="13" t="s">
        <v>127</v>
      </c>
      <c r="O49" s="13" t="s">
        <v>128</v>
      </c>
      <c r="P49" s="13" t="s">
        <v>129</v>
      </c>
      <c r="Q49" s="17">
        <v>32</v>
      </c>
      <c r="R49" s="13" t="s">
        <v>41</v>
      </c>
      <c r="S49" s="17">
        <v>16</v>
      </c>
      <c r="T49" s="13" t="s">
        <v>42</v>
      </c>
      <c r="U49" s="13">
        <v>0</v>
      </c>
      <c r="V49" s="13" t="s">
        <v>43</v>
      </c>
      <c r="W49" s="13" t="s">
        <v>43</v>
      </c>
      <c r="X49" s="13" t="s">
        <v>128</v>
      </c>
      <c r="Y49" s="13" t="s">
        <v>129</v>
      </c>
      <c r="Z49" s="13">
        <v>32</v>
      </c>
      <c r="AE49" s="13">
        <v>32</v>
      </c>
      <c r="AI49" s="18"/>
    </row>
    <row r="50" spans="1:35" x14ac:dyDescent="0.3">
      <c r="A50" s="14" t="s">
        <v>119</v>
      </c>
      <c r="B50" s="13" t="s">
        <v>120</v>
      </c>
      <c r="C50" s="13" t="s">
        <v>121</v>
      </c>
      <c r="D50" s="13" t="s">
        <v>122</v>
      </c>
      <c r="E50" s="13" t="str">
        <f>INDEX(Sheet1!$E$23:$E$34,MATCH(A50,Sheet1!$D$23:$D$34,0))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50" s="13" t="s">
        <v>35</v>
      </c>
      <c r="G50" s="13" t="s">
        <v>136</v>
      </c>
      <c r="H50" s="13" t="s">
        <v>79</v>
      </c>
      <c r="I50" s="13">
        <v>2021</v>
      </c>
      <c r="J50" s="20" t="s">
        <v>125</v>
      </c>
      <c r="K50" s="13" t="s">
        <v>138</v>
      </c>
      <c r="L50" s="16">
        <v>324779</v>
      </c>
      <c r="M50" s="16">
        <v>4137032</v>
      </c>
      <c r="N50" s="13" t="s">
        <v>127</v>
      </c>
      <c r="O50" s="13" t="s">
        <v>128</v>
      </c>
      <c r="P50" s="13" t="s">
        <v>129</v>
      </c>
      <c r="Q50" s="17">
        <v>6</v>
      </c>
      <c r="R50" s="13" t="s">
        <v>41</v>
      </c>
      <c r="S50" s="17">
        <v>3</v>
      </c>
      <c r="T50" s="13" t="s">
        <v>42</v>
      </c>
      <c r="U50" s="13">
        <v>0</v>
      </c>
      <c r="V50" s="13" t="s">
        <v>43</v>
      </c>
      <c r="W50" s="13" t="s">
        <v>43</v>
      </c>
      <c r="X50" s="13" t="s">
        <v>128</v>
      </c>
      <c r="Y50" s="13" t="s">
        <v>129</v>
      </c>
      <c r="Z50" s="13">
        <v>6</v>
      </c>
      <c r="AE50" s="13">
        <v>6</v>
      </c>
      <c r="AI50" s="18"/>
    </row>
    <row r="51" spans="1:35" x14ac:dyDescent="0.3">
      <c r="A51" s="14" t="s">
        <v>119</v>
      </c>
      <c r="B51" s="13" t="s">
        <v>120</v>
      </c>
      <c r="C51" s="13" t="s">
        <v>121</v>
      </c>
      <c r="D51" s="13" t="s">
        <v>122</v>
      </c>
      <c r="E51" s="13" t="str">
        <f>INDEX(Sheet1!$E$23:$E$34,MATCH(A51,Sheet1!$D$23:$D$34,0))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51" s="13" t="s">
        <v>35</v>
      </c>
      <c r="G51" s="13" t="s">
        <v>136</v>
      </c>
      <c r="H51" s="13" t="s">
        <v>140</v>
      </c>
      <c r="I51" s="13">
        <v>2021</v>
      </c>
      <c r="J51" s="20" t="s">
        <v>125</v>
      </c>
      <c r="K51" s="13" t="s">
        <v>138</v>
      </c>
      <c r="L51" s="16">
        <v>324779</v>
      </c>
      <c r="M51" s="16">
        <v>4137032</v>
      </c>
      <c r="N51" s="13" t="s">
        <v>127</v>
      </c>
      <c r="O51" s="13" t="s">
        <v>128</v>
      </c>
      <c r="P51" s="13" t="s">
        <v>129</v>
      </c>
      <c r="Q51" s="17">
        <v>9</v>
      </c>
      <c r="R51" s="13" t="s">
        <v>41</v>
      </c>
      <c r="S51" s="17">
        <v>4.5</v>
      </c>
      <c r="T51" s="13" t="s">
        <v>42</v>
      </c>
      <c r="U51" s="13">
        <v>0</v>
      </c>
      <c r="V51" s="13" t="s">
        <v>43</v>
      </c>
      <c r="W51" s="13" t="s">
        <v>43</v>
      </c>
      <c r="X51" s="13" t="s">
        <v>128</v>
      </c>
      <c r="Y51" s="13" t="s">
        <v>129</v>
      </c>
      <c r="Z51" s="13">
        <v>9</v>
      </c>
      <c r="AE51" s="13">
        <v>9</v>
      </c>
      <c r="AI51" s="18"/>
    </row>
    <row r="52" spans="1:35" x14ac:dyDescent="0.3">
      <c r="A52" s="14" t="s">
        <v>119</v>
      </c>
      <c r="B52" s="13" t="s">
        <v>120</v>
      </c>
      <c r="C52" s="13" t="s">
        <v>121</v>
      </c>
      <c r="D52" s="13" t="s">
        <v>122</v>
      </c>
      <c r="E52" s="13" t="str">
        <f>INDEX(Sheet1!$E$23:$E$34,MATCH(A52,Sheet1!$D$23:$D$34,0))</f>
        <v>Martinez Ambiental Ltda (2019) Informe de resutados de pesca de investigación asociado al permiso SUBPESCA, R.EX N°1628/2019. Proyecto: Plan de vigilancia ambiental, asociado al proyecto Mina Invierno, comuna de Río Verde, región de Magallanes y Antártica Chilena. Mandante: Minera Invierno Sa.</v>
      </c>
      <c r="F52" s="13" t="s">
        <v>35</v>
      </c>
      <c r="G52" s="13" t="s">
        <v>136</v>
      </c>
      <c r="H52" s="13" t="s">
        <v>140</v>
      </c>
      <c r="I52" s="13">
        <v>2021</v>
      </c>
      <c r="J52" s="20" t="s">
        <v>125</v>
      </c>
      <c r="K52" s="13" t="s">
        <v>138</v>
      </c>
      <c r="L52" s="16">
        <v>324779</v>
      </c>
      <c r="M52" s="16">
        <v>4137032</v>
      </c>
      <c r="N52" s="13" t="s">
        <v>131</v>
      </c>
      <c r="O52" s="13" t="s">
        <v>45</v>
      </c>
      <c r="P52" s="13" t="s">
        <v>132</v>
      </c>
      <c r="Q52" s="17">
        <v>6</v>
      </c>
      <c r="R52" s="13" t="s">
        <v>41</v>
      </c>
      <c r="S52" s="17">
        <v>3</v>
      </c>
      <c r="T52" s="13" t="s">
        <v>42</v>
      </c>
      <c r="U52" s="13">
        <v>0</v>
      </c>
      <c r="V52" s="13" t="s">
        <v>43</v>
      </c>
      <c r="W52" s="13" t="s">
        <v>43</v>
      </c>
      <c r="X52" s="13" t="s">
        <v>45</v>
      </c>
      <c r="Y52" s="13" t="s">
        <v>132</v>
      </c>
      <c r="Z52" s="13">
        <v>6</v>
      </c>
      <c r="AE52" s="13">
        <v>6</v>
      </c>
      <c r="AI52" s="18"/>
    </row>
    <row r="53" spans="1:35" x14ac:dyDescent="0.3">
      <c r="A53" s="14" t="s">
        <v>141</v>
      </c>
      <c r="B53" s="13" t="s">
        <v>142</v>
      </c>
      <c r="C53" s="13" t="s">
        <v>143</v>
      </c>
      <c r="D53" s="13" t="s">
        <v>144</v>
      </c>
      <c r="E53" s="13" t="str">
        <f>INDEX(Sheet1!$E$23:$E$34,MATCH(A53,Sheet1!$D$23:$D$34,0))</f>
        <v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v>
      </c>
      <c r="F53" s="13" t="s">
        <v>35</v>
      </c>
      <c r="G53" s="13" t="s">
        <v>145</v>
      </c>
      <c r="H53" s="13" t="s">
        <v>52</v>
      </c>
      <c r="I53" s="13">
        <v>2020</v>
      </c>
      <c r="J53" s="21">
        <v>0.45833333333333331</v>
      </c>
      <c r="K53" s="13" t="s">
        <v>53</v>
      </c>
      <c r="L53" s="16">
        <v>-41.227578000000001</v>
      </c>
      <c r="M53" s="16">
        <v>-72.470208999999997</v>
      </c>
      <c r="N53" s="13" t="s">
        <v>146</v>
      </c>
      <c r="O53" s="13" t="s">
        <v>147</v>
      </c>
      <c r="P53" s="13" t="s">
        <v>148</v>
      </c>
      <c r="Q53" s="17">
        <v>6</v>
      </c>
      <c r="R53" s="13" t="s">
        <v>41</v>
      </c>
      <c r="S53" s="17">
        <v>12</v>
      </c>
      <c r="T53" s="13" t="s">
        <v>42</v>
      </c>
      <c r="U53" s="13">
        <v>0</v>
      </c>
      <c r="V53" s="13" t="s">
        <v>43</v>
      </c>
      <c r="W53" s="13" t="s">
        <v>43</v>
      </c>
      <c r="X53" s="13" t="s">
        <v>147</v>
      </c>
      <c r="Y53" s="13" t="s">
        <v>148</v>
      </c>
      <c r="Z53" s="13">
        <v>6</v>
      </c>
      <c r="AA53" s="13">
        <v>1.7</v>
      </c>
      <c r="AB53" s="13">
        <v>6.5</v>
      </c>
      <c r="AC53" s="13">
        <v>4.2</v>
      </c>
      <c r="AD53" s="13">
        <v>2.2999999999999998</v>
      </c>
      <c r="AE53" s="13">
        <v>6</v>
      </c>
      <c r="AF53" s="13">
        <v>7</v>
      </c>
      <c r="AG53" s="13">
        <v>10</v>
      </c>
      <c r="AH53" s="13">
        <v>8.6</v>
      </c>
      <c r="AI53" s="18">
        <v>1.7</v>
      </c>
    </row>
    <row r="54" spans="1:35" x14ac:dyDescent="0.3">
      <c r="A54" s="14" t="s">
        <v>141</v>
      </c>
      <c r="B54" s="13" t="s">
        <v>142</v>
      </c>
      <c r="C54" s="13" t="s">
        <v>143</v>
      </c>
      <c r="D54" s="13" t="s">
        <v>144</v>
      </c>
      <c r="E54" s="13" t="str">
        <f>INDEX(Sheet1!$E$23:$E$34,MATCH(A54,Sheet1!$D$23:$D$34,0))</f>
        <v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v>
      </c>
      <c r="F54" s="13" t="s">
        <v>35</v>
      </c>
      <c r="G54" s="13" t="s">
        <v>145</v>
      </c>
      <c r="H54" s="13" t="s">
        <v>52</v>
      </c>
      <c r="I54" s="13">
        <v>2020</v>
      </c>
      <c r="J54" s="21">
        <v>0.45833333333333331</v>
      </c>
      <c r="K54" s="13" t="s">
        <v>53</v>
      </c>
      <c r="L54" s="16">
        <v>-41.227578000000001</v>
      </c>
      <c r="M54" s="16">
        <v>-72.470208999999997</v>
      </c>
      <c r="N54" s="13" t="s">
        <v>146</v>
      </c>
      <c r="O54" s="13" t="s">
        <v>45</v>
      </c>
      <c r="P54" s="13" t="s">
        <v>149</v>
      </c>
      <c r="Q54" s="17">
        <v>2</v>
      </c>
      <c r="R54" s="13" t="s">
        <v>41</v>
      </c>
      <c r="S54" s="17">
        <v>4</v>
      </c>
      <c r="T54" s="13" t="s">
        <v>42</v>
      </c>
      <c r="U54" s="13">
        <v>0</v>
      </c>
      <c r="V54" s="13" t="s">
        <v>43</v>
      </c>
      <c r="W54" s="13" t="s">
        <v>43</v>
      </c>
      <c r="X54" s="13" t="s">
        <v>45</v>
      </c>
      <c r="Y54" s="13" t="s">
        <v>149</v>
      </c>
      <c r="Z54" s="13">
        <v>2</v>
      </c>
      <c r="AA54" s="13">
        <v>11.2</v>
      </c>
      <c r="AB54" s="13">
        <v>12</v>
      </c>
      <c r="AC54" s="13">
        <v>11.6</v>
      </c>
      <c r="AD54" s="13">
        <v>0.6</v>
      </c>
      <c r="AE54" s="13">
        <v>2</v>
      </c>
      <c r="AF54" s="13">
        <v>11</v>
      </c>
      <c r="AG54" s="13">
        <v>1.5</v>
      </c>
      <c r="AH54" s="13">
        <v>11.3</v>
      </c>
      <c r="AI54" s="18">
        <v>0.4</v>
      </c>
    </row>
    <row r="55" spans="1:35" x14ac:dyDescent="0.3">
      <c r="A55" s="14" t="s">
        <v>141</v>
      </c>
      <c r="B55" s="13" t="s">
        <v>142</v>
      </c>
      <c r="C55" s="13" t="s">
        <v>143</v>
      </c>
      <c r="D55" s="13" t="s">
        <v>144</v>
      </c>
      <c r="E55" s="13" t="str">
        <f>INDEX(Sheet1!$E$23:$E$34,MATCH(A55,Sheet1!$D$23:$D$34,0))</f>
        <v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v>
      </c>
      <c r="F55" s="13" t="s">
        <v>35</v>
      </c>
      <c r="G55" s="13" t="s">
        <v>145</v>
      </c>
      <c r="H55" s="13" t="s">
        <v>52</v>
      </c>
      <c r="I55" s="13">
        <v>2020</v>
      </c>
      <c r="J55" s="21">
        <v>0.5</v>
      </c>
      <c r="K55" s="13" t="s">
        <v>63</v>
      </c>
      <c r="L55" s="16">
        <v>-41.228302999999997</v>
      </c>
      <c r="M55" s="16">
        <v>-72.469166999999999</v>
      </c>
      <c r="N55" s="13" t="s">
        <v>146</v>
      </c>
      <c r="O55" s="13" t="s">
        <v>147</v>
      </c>
      <c r="P55" s="13" t="s">
        <v>148</v>
      </c>
      <c r="Q55" s="17">
        <v>2</v>
      </c>
      <c r="R55" s="13" t="s">
        <v>41</v>
      </c>
      <c r="S55" s="17">
        <v>4</v>
      </c>
      <c r="T55" s="13" t="s">
        <v>42</v>
      </c>
      <c r="U55" s="13">
        <v>0</v>
      </c>
      <c r="V55" s="13" t="s">
        <v>43</v>
      </c>
      <c r="W55" s="13" t="s">
        <v>43</v>
      </c>
      <c r="X55" s="13" t="s">
        <v>147</v>
      </c>
      <c r="Y55" s="13" t="s">
        <v>148</v>
      </c>
      <c r="Z55" s="13">
        <v>2</v>
      </c>
      <c r="AA55" s="13">
        <v>1.5</v>
      </c>
      <c r="AB55" s="13">
        <v>1.5</v>
      </c>
      <c r="AC55" s="13">
        <v>1.5</v>
      </c>
      <c r="AD55" s="13">
        <v>0</v>
      </c>
      <c r="AE55" s="13">
        <v>2</v>
      </c>
      <c r="AF55" s="13">
        <v>6</v>
      </c>
      <c r="AG55" s="13">
        <v>6</v>
      </c>
      <c r="AH55" s="13">
        <v>6</v>
      </c>
      <c r="AI55" s="18">
        <v>0</v>
      </c>
    </row>
    <row r="56" spans="1:35" x14ac:dyDescent="0.3">
      <c r="A56" s="14" t="s">
        <v>141</v>
      </c>
      <c r="B56" s="13" t="s">
        <v>142</v>
      </c>
      <c r="C56" s="13" t="s">
        <v>143</v>
      </c>
      <c r="D56" s="13" t="s">
        <v>144</v>
      </c>
      <c r="E56" s="13" t="str">
        <f>INDEX(Sheet1!$E$23:$E$34,MATCH(A56,Sheet1!$D$23:$D$34,0))</f>
        <v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v>
      </c>
      <c r="F56" s="13" t="s">
        <v>35</v>
      </c>
      <c r="G56" s="13" t="s">
        <v>145</v>
      </c>
      <c r="H56" s="13" t="s">
        <v>52</v>
      </c>
      <c r="I56" s="13">
        <v>2020</v>
      </c>
      <c r="J56" s="21" t="s">
        <v>150</v>
      </c>
      <c r="K56" s="13" t="s">
        <v>66</v>
      </c>
      <c r="L56" s="16">
        <v>-41.230398999999998</v>
      </c>
      <c r="M56" s="16">
        <v>-72.467022</v>
      </c>
      <c r="N56" s="13" t="s">
        <v>146</v>
      </c>
      <c r="O56" s="13" t="s">
        <v>147</v>
      </c>
      <c r="P56" s="13" t="s">
        <v>151</v>
      </c>
      <c r="Q56" s="17">
        <v>2</v>
      </c>
      <c r="R56" s="13" t="s">
        <v>41</v>
      </c>
      <c r="S56" s="17">
        <v>4</v>
      </c>
      <c r="T56" s="13" t="s">
        <v>42</v>
      </c>
      <c r="U56" s="13">
        <v>0</v>
      </c>
      <c r="V56" s="13" t="s">
        <v>43</v>
      </c>
      <c r="W56" s="13" t="s">
        <v>43</v>
      </c>
      <c r="X56" s="13" t="s">
        <v>147</v>
      </c>
      <c r="Y56" s="13" t="s">
        <v>151</v>
      </c>
      <c r="Z56" s="13">
        <v>2</v>
      </c>
      <c r="AA56" s="13">
        <v>0.8</v>
      </c>
      <c r="AB56" s="13">
        <v>0.8</v>
      </c>
      <c r="AC56" s="13">
        <v>0.8</v>
      </c>
      <c r="AD56" s="13">
        <v>0</v>
      </c>
      <c r="AE56" s="13">
        <v>2</v>
      </c>
      <c r="AF56" s="13">
        <v>4.5</v>
      </c>
      <c r="AG56" s="13">
        <v>4.5</v>
      </c>
      <c r="AH56" s="13">
        <v>4.5</v>
      </c>
      <c r="AI56" s="18">
        <v>0</v>
      </c>
    </row>
    <row r="57" spans="1:35" x14ac:dyDescent="0.3">
      <c r="A57" s="14" t="s">
        <v>141</v>
      </c>
      <c r="B57" s="13" t="s">
        <v>142</v>
      </c>
      <c r="C57" s="13" t="s">
        <v>143</v>
      </c>
      <c r="D57" s="13" t="s">
        <v>144</v>
      </c>
      <c r="E57" s="13" t="str">
        <f>INDEX(Sheet1!$E$23:$E$34,MATCH(A57,Sheet1!$D$23:$D$34,0))</f>
        <v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v>
      </c>
      <c r="F57" s="13" t="s">
        <v>35</v>
      </c>
      <c r="G57" s="13" t="s">
        <v>145</v>
      </c>
      <c r="H57" s="13" t="s">
        <v>52</v>
      </c>
      <c r="I57" s="13">
        <v>2020</v>
      </c>
      <c r="J57" s="21" t="s">
        <v>152</v>
      </c>
      <c r="K57" s="13" t="s">
        <v>153</v>
      </c>
      <c r="L57" s="16">
        <v>-41.231634</v>
      </c>
      <c r="M57" s="16">
        <v>-72.465423000000001</v>
      </c>
      <c r="N57" s="13" t="s">
        <v>146</v>
      </c>
      <c r="O57" s="13" t="s">
        <v>115</v>
      </c>
      <c r="P57" s="13" t="s">
        <v>78</v>
      </c>
      <c r="Q57" s="17">
        <v>2</v>
      </c>
      <c r="R57" s="13" t="s">
        <v>41</v>
      </c>
      <c r="S57" s="17">
        <v>4</v>
      </c>
      <c r="T57" s="13" t="s">
        <v>42</v>
      </c>
      <c r="U57" s="13">
        <v>0</v>
      </c>
      <c r="V57" s="13" t="s">
        <v>43</v>
      </c>
      <c r="W57" s="13" t="s">
        <v>43</v>
      </c>
      <c r="X57" s="13" t="s">
        <v>115</v>
      </c>
      <c r="Y57" s="13" t="s">
        <v>78</v>
      </c>
      <c r="Z57" s="13">
        <v>2</v>
      </c>
      <c r="AA57" s="13">
        <v>2.7</v>
      </c>
      <c r="AB57" s="13">
        <v>2.7</v>
      </c>
      <c r="AC57" s="13">
        <v>2.7</v>
      </c>
      <c r="AD57" s="13">
        <v>0</v>
      </c>
      <c r="AE57" s="13">
        <v>2</v>
      </c>
      <c r="AF57" s="13">
        <v>7</v>
      </c>
      <c r="AG57" s="13">
        <v>7</v>
      </c>
      <c r="AH57" s="13">
        <v>7</v>
      </c>
      <c r="AI57" s="18">
        <v>0</v>
      </c>
    </row>
    <row r="58" spans="1:35" x14ac:dyDescent="0.3">
      <c r="A58" s="14" t="s">
        <v>141</v>
      </c>
      <c r="B58" s="13" t="s">
        <v>142</v>
      </c>
      <c r="C58" s="13" t="s">
        <v>143</v>
      </c>
      <c r="D58" s="13" t="s">
        <v>144</v>
      </c>
      <c r="E58" s="13" t="str">
        <f>INDEX(Sheet1!$E$23:$E$34,MATCH(A58,Sheet1!$D$23:$D$34,0))</f>
        <v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v>
      </c>
      <c r="F58" s="13" t="s">
        <v>35</v>
      </c>
      <c r="G58" s="13" t="s">
        <v>145</v>
      </c>
      <c r="H58" s="13" t="s">
        <v>52</v>
      </c>
      <c r="I58" s="13">
        <v>2020</v>
      </c>
      <c r="J58" s="21" t="s">
        <v>152</v>
      </c>
      <c r="K58" s="13" t="s">
        <v>153</v>
      </c>
      <c r="L58" s="16">
        <v>-41.231634</v>
      </c>
      <c r="M58" s="16">
        <v>-72.465423000000001</v>
      </c>
      <c r="N58" s="13" t="s">
        <v>146</v>
      </c>
      <c r="O58" s="13" t="s">
        <v>147</v>
      </c>
      <c r="P58" s="13" t="s">
        <v>151</v>
      </c>
      <c r="Q58" s="17">
        <v>2</v>
      </c>
      <c r="R58" s="13" t="s">
        <v>41</v>
      </c>
      <c r="S58" s="17">
        <v>4</v>
      </c>
      <c r="T58" s="13" t="s">
        <v>42</v>
      </c>
      <c r="U58" s="13">
        <v>0</v>
      </c>
      <c r="V58" s="13" t="s">
        <v>43</v>
      </c>
      <c r="W58" s="13" t="s">
        <v>43</v>
      </c>
      <c r="X58" s="13" t="s">
        <v>147</v>
      </c>
      <c r="Y58" s="13" t="s">
        <v>151</v>
      </c>
      <c r="Z58" s="13">
        <v>2</v>
      </c>
      <c r="AA58" s="13">
        <v>3</v>
      </c>
      <c r="AB58" s="13">
        <v>3.1</v>
      </c>
      <c r="AC58" s="13">
        <v>3.1</v>
      </c>
      <c r="AD58" s="13">
        <v>0.1</v>
      </c>
      <c r="AE58" s="13">
        <v>2</v>
      </c>
      <c r="AF58" s="13">
        <v>8</v>
      </c>
      <c r="AG58" s="13">
        <v>8.1</v>
      </c>
      <c r="AH58" s="13">
        <v>8.1</v>
      </c>
      <c r="AI58" s="18">
        <v>0.1</v>
      </c>
    </row>
    <row r="59" spans="1:35" x14ac:dyDescent="0.3">
      <c r="A59" s="14" t="s">
        <v>141</v>
      </c>
      <c r="B59" s="13" t="s">
        <v>142</v>
      </c>
      <c r="C59" s="13" t="s">
        <v>143</v>
      </c>
      <c r="D59" s="13" t="s">
        <v>144</v>
      </c>
      <c r="E59" s="13" t="str">
        <f>INDEX(Sheet1!$E$23:$E$34,MATCH(A59,Sheet1!$D$23:$D$34,0))</f>
        <v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v>
      </c>
      <c r="F59" s="13" t="s">
        <v>35</v>
      </c>
      <c r="G59" s="13" t="s">
        <v>145</v>
      </c>
      <c r="H59" s="13" t="s">
        <v>52</v>
      </c>
      <c r="I59" s="13">
        <v>2020</v>
      </c>
      <c r="J59" s="21" t="s">
        <v>152</v>
      </c>
      <c r="K59" s="13" t="s">
        <v>153</v>
      </c>
      <c r="L59" s="16">
        <v>-41.231634</v>
      </c>
      <c r="M59" s="16">
        <v>-72.465423000000001</v>
      </c>
      <c r="N59" s="13" t="s">
        <v>146</v>
      </c>
      <c r="O59" s="13" t="s">
        <v>154</v>
      </c>
      <c r="P59" s="13" t="s">
        <v>155</v>
      </c>
      <c r="Q59" s="17">
        <v>6</v>
      </c>
      <c r="R59" s="13" t="s">
        <v>41</v>
      </c>
      <c r="S59" s="17">
        <v>12</v>
      </c>
      <c r="T59" s="13" t="s">
        <v>42</v>
      </c>
      <c r="U59" s="13">
        <v>0</v>
      </c>
      <c r="V59" s="13" t="s">
        <v>43</v>
      </c>
      <c r="W59" s="13" t="s">
        <v>43</v>
      </c>
      <c r="X59" s="13" t="s">
        <v>154</v>
      </c>
      <c r="Y59" s="13" t="s">
        <v>155</v>
      </c>
      <c r="Z59" s="13">
        <v>6</v>
      </c>
      <c r="AA59" s="13">
        <v>1.5</v>
      </c>
      <c r="AB59" s="13">
        <v>0.8</v>
      </c>
      <c r="AC59" s="13">
        <v>1.2</v>
      </c>
      <c r="AD59" s="13">
        <v>0.3</v>
      </c>
      <c r="AE59" s="13">
        <v>6</v>
      </c>
      <c r="AF59" s="13">
        <v>8</v>
      </c>
      <c r="AG59" s="13">
        <v>10.5</v>
      </c>
      <c r="AH59" s="13">
        <v>9.6</v>
      </c>
      <c r="AI59" s="18">
        <v>1.1000000000000001</v>
      </c>
    </row>
    <row r="60" spans="1:35" x14ac:dyDescent="0.3">
      <c r="A60" s="14" t="s">
        <v>141</v>
      </c>
      <c r="B60" s="13" t="s">
        <v>142</v>
      </c>
      <c r="C60" s="13" t="s">
        <v>143</v>
      </c>
      <c r="D60" s="13" t="s">
        <v>144</v>
      </c>
      <c r="E60" s="13" t="str">
        <f>INDEX(Sheet1!$E$23:$E$34,MATCH(A60,Sheet1!$D$23:$D$34,0))</f>
        <v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v>
      </c>
      <c r="F60" s="13" t="s">
        <v>35</v>
      </c>
      <c r="G60" s="13" t="s">
        <v>145</v>
      </c>
      <c r="H60" s="13" t="s">
        <v>52</v>
      </c>
      <c r="I60" s="13">
        <v>2020</v>
      </c>
      <c r="J60" s="21" t="s">
        <v>152</v>
      </c>
      <c r="K60" s="13" t="s">
        <v>153</v>
      </c>
      <c r="L60" s="16">
        <v>-41.231634</v>
      </c>
      <c r="M60" s="16">
        <v>-72.465423000000001</v>
      </c>
      <c r="N60" s="13" t="s">
        <v>146</v>
      </c>
      <c r="O60" s="13" t="s">
        <v>39</v>
      </c>
      <c r="P60" s="13" t="s">
        <v>40</v>
      </c>
      <c r="Q60" s="17">
        <v>2</v>
      </c>
      <c r="R60" s="13" t="s">
        <v>41</v>
      </c>
      <c r="S60" s="17">
        <v>4</v>
      </c>
      <c r="T60" s="13" t="s">
        <v>42</v>
      </c>
      <c r="U60" s="13">
        <v>0</v>
      </c>
      <c r="V60" s="13" t="s">
        <v>43</v>
      </c>
      <c r="W60" s="13" t="s">
        <v>43</v>
      </c>
      <c r="X60" s="13" t="s">
        <v>39</v>
      </c>
      <c r="Y60" s="13" t="s">
        <v>40</v>
      </c>
      <c r="Z60" s="13">
        <v>2</v>
      </c>
      <c r="AA60" s="13">
        <v>1000</v>
      </c>
      <c r="AB60" s="13">
        <v>1200</v>
      </c>
      <c r="AC60" s="13">
        <v>1100</v>
      </c>
      <c r="AD60" s="13">
        <v>141.4</v>
      </c>
      <c r="AE60" s="13">
        <v>2</v>
      </c>
      <c r="AF60" s="13">
        <v>45</v>
      </c>
      <c r="AG60" s="13">
        <v>50</v>
      </c>
      <c r="AH60" s="13">
        <v>47.5</v>
      </c>
      <c r="AI60" s="18">
        <v>3.5</v>
      </c>
    </row>
    <row r="61" spans="1:35" x14ac:dyDescent="0.3">
      <c r="A61" s="14" t="s">
        <v>141</v>
      </c>
      <c r="B61" s="13" t="s">
        <v>142</v>
      </c>
      <c r="C61" s="13" t="s">
        <v>143</v>
      </c>
      <c r="D61" s="13" t="s">
        <v>144</v>
      </c>
      <c r="E61" s="13" t="str">
        <f>INDEX(Sheet1!$E$23:$E$34,MATCH(A61,Sheet1!$D$23:$D$34,0))</f>
        <v>Claudia Verdugo Castro (2020) Informe de resutados de pesca de investigación asociado al permiso SUBPESCA, R. EX N°65/2020. Proyecto: Monitoreo limnológico proyecto refundición de RCA's Amplición y cambio operacional, río Petrohué, comuna de Puerto Varas, región de Los Lagos. Mandante: Salmones Camanchaca S.A.</v>
      </c>
      <c r="F61" s="13" t="s">
        <v>35</v>
      </c>
      <c r="G61" s="13" t="s">
        <v>145</v>
      </c>
      <c r="H61" s="13" t="s">
        <v>52</v>
      </c>
      <c r="I61" s="13">
        <v>2020</v>
      </c>
      <c r="J61" s="21" t="s">
        <v>152</v>
      </c>
      <c r="K61" s="13" t="s">
        <v>153</v>
      </c>
      <c r="L61" s="16">
        <v>-41.231634</v>
      </c>
      <c r="M61" s="16">
        <v>-72.465423000000001</v>
      </c>
      <c r="N61" s="13" t="s">
        <v>146</v>
      </c>
      <c r="O61" s="13" t="s">
        <v>156</v>
      </c>
      <c r="P61" s="13" t="s">
        <v>157</v>
      </c>
      <c r="Q61" s="17">
        <v>1</v>
      </c>
      <c r="R61" s="13" t="s">
        <v>41</v>
      </c>
      <c r="S61" s="17">
        <v>2</v>
      </c>
      <c r="T61" s="13" t="s">
        <v>42</v>
      </c>
      <c r="U61" s="13">
        <v>0</v>
      </c>
      <c r="V61" s="13" t="s">
        <v>43</v>
      </c>
      <c r="W61" s="13" t="s">
        <v>43</v>
      </c>
      <c r="X61" s="13" t="s">
        <v>156</v>
      </c>
      <c r="Y61" s="13" t="s">
        <v>157</v>
      </c>
      <c r="Z61" s="13">
        <v>1</v>
      </c>
      <c r="AA61" s="13">
        <v>500</v>
      </c>
      <c r="AB61" s="13">
        <v>500</v>
      </c>
      <c r="AC61" s="13">
        <v>500</v>
      </c>
      <c r="AD61" s="13">
        <v>0</v>
      </c>
      <c r="AE61" s="13">
        <v>1</v>
      </c>
      <c r="AF61" s="13">
        <v>34</v>
      </c>
      <c r="AG61" s="13">
        <v>34</v>
      </c>
      <c r="AH61" s="13">
        <v>34</v>
      </c>
      <c r="AI61" s="18">
        <v>0</v>
      </c>
    </row>
    <row r="62" spans="1:35" x14ac:dyDescent="0.3">
      <c r="A62" s="14" t="s">
        <v>158</v>
      </c>
      <c r="B62" s="13" t="s">
        <v>159</v>
      </c>
      <c r="C62" s="13" t="s">
        <v>160</v>
      </c>
      <c r="D62" s="13" t="s">
        <v>161</v>
      </c>
      <c r="E62" s="13" t="str">
        <f>INDEX(Sheet1!$E$23:$E$34,MATCH(A62,Sheet1!$D$23:$D$34,0))</f>
        <v>Claudia Verdugo Castro (2020) Informe de resutados de pesca de investigación asociado al permiso SUBPESCA, R. EX. N° E-2020-607 . Proyecto: Línea base limnológica Río Trainel cercano a la Piscicultura Trainel, región de Los Lagos. Mandante: Piscicultura Trainel.</v>
      </c>
      <c r="F62" s="13" t="s">
        <v>162</v>
      </c>
      <c r="G62" s="13" t="s">
        <v>163</v>
      </c>
      <c r="H62" s="13" t="s">
        <v>164</v>
      </c>
      <c r="I62" s="13">
        <v>2021</v>
      </c>
      <c r="J62" s="15">
        <v>0.45833333333333331</v>
      </c>
      <c r="K62" s="13" t="s">
        <v>165</v>
      </c>
      <c r="L62" s="16">
        <v>-42.662253</v>
      </c>
      <c r="M62" s="16">
        <v>-73.889887000000002</v>
      </c>
      <c r="N62" s="13" t="s">
        <v>166</v>
      </c>
      <c r="O62" s="13" t="s">
        <v>77</v>
      </c>
      <c r="P62" s="13" t="s">
        <v>167</v>
      </c>
      <c r="Q62" s="17">
        <v>180</v>
      </c>
      <c r="R62" s="13" t="s">
        <v>41</v>
      </c>
      <c r="S62" s="17">
        <v>360</v>
      </c>
      <c r="T62" s="13" t="s">
        <v>42</v>
      </c>
      <c r="U62" s="13">
        <v>0</v>
      </c>
      <c r="V62" s="13" t="s">
        <v>43</v>
      </c>
      <c r="W62" s="13" t="s">
        <v>43</v>
      </c>
      <c r="X62" s="13" t="s">
        <v>77</v>
      </c>
      <c r="Y62" s="13" t="s">
        <v>167</v>
      </c>
      <c r="Z62" s="13">
        <v>180</v>
      </c>
      <c r="AA62" s="13">
        <v>0.6</v>
      </c>
      <c r="AB62" s="13">
        <v>1.9</v>
      </c>
      <c r="AC62" s="13">
        <v>1.7</v>
      </c>
      <c r="AD62" s="13">
        <v>0.5</v>
      </c>
      <c r="AE62" s="13">
        <v>180</v>
      </c>
      <c r="AF62" s="13">
        <v>5</v>
      </c>
      <c r="AG62" s="13">
        <v>7</v>
      </c>
      <c r="AH62" s="13">
        <v>6.6</v>
      </c>
      <c r="AI62" s="18">
        <v>0.7</v>
      </c>
    </row>
    <row r="63" spans="1:35" x14ac:dyDescent="0.3">
      <c r="A63" s="14" t="s">
        <v>158</v>
      </c>
      <c r="B63" s="13" t="s">
        <v>159</v>
      </c>
      <c r="C63" s="13" t="s">
        <v>160</v>
      </c>
      <c r="D63" s="13" t="s">
        <v>161</v>
      </c>
      <c r="E63" s="13" t="str">
        <f>INDEX(Sheet1!$E$23:$E$34,MATCH(A63,Sheet1!$D$23:$D$34,0))</f>
        <v>Claudia Verdugo Castro (2020) Informe de resutados de pesca de investigación asociado al permiso SUBPESCA, R. EX. N° E-2020-607 . Proyecto: Línea base limnológica Río Trainel cercano a la Piscicultura Trainel, región de Los Lagos. Mandante: Piscicultura Trainel.</v>
      </c>
      <c r="F63" s="13" t="s">
        <v>162</v>
      </c>
      <c r="G63" s="13" t="s">
        <v>163</v>
      </c>
      <c r="H63" s="13" t="s">
        <v>164</v>
      </c>
      <c r="I63" s="13">
        <v>2021</v>
      </c>
      <c r="J63" s="15">
        <v>0.45833333333333331</v>
      </c>
      <c r="K63" s="13" t="s">
        <v>165</v>
      </c>
      <c r="L63" s="16">
        <v>-42.662253</v>
      </c>
      <c r="M63" s="16">
        <v>-73.889887000000002</v>
      </c>
      <c r="N63" s="13" t="s">
        <v>166</v>
      </c>
      <c r="O63" s="13" t="s">
        <v>45</v>
      </c>
      <c r="P63" s="13" t="s">
        <v>168</v>
      </c>
      <c r="Q63" s="17">
        <v>1</v>
      </c>
      <c r="R63" s="13" t="s">
        <v>41</v>
      </c>
      <c r="S63" s="17">
        <v>2</v>
      </c>
      <c r="T63" s="13" t="s">
        <v>42</v>
      </c>
      <c r="U63" s="13">
        <v>0</v>
      </c>
      <c r="V63" s="13" t="s">
        <v>43</v>
      </c>
      <c r="W63" s="13" t="s">
        <v>43</v>
      </c>
      <c r="X63" s="13" t="s">
        <v>45</v>
      </c>
      <c r="Y63" s="13" t="s">
        <v>168</v>
      </c>
      <c r="Z63" s="13">
        <v>1</v>
      </c>
      <c r="AB63" s="13">
        <v>1.5</v>
      </c>
      <c r="AC63" s="13">
        <v>1.5</v>
      </c>
      <c r="AD63" s="13">
        <v>0</v>
      </c>
      <c r="AE63" s="13">
        <v>1</v>
      </c>
      <c r="AG63" s="13">
        <v>5</v>
      </c>
      <c r="AH63" s="13">
        <v>5</v>
      </c>
      <c r="AI63" s="18">
        <v>0</v>
      </c>
    </row>
    <row r="64" spans="1:35" x14ac:dyDescent="0.3">
      <c r="A64" s="14" t="s">
        <v>158</v>
      </c>
      <c r="B64" s="13" t="s">
        <v>159</v>
      </c>
      <c r="C64" s="13" t="s">
        <v>160</v>
      </c>
      <c r="D64" s="13" t="s">
        <v>161</v>
      </c>
      <c r="E64" s="13" t="str">
        <f>INDEX(Sheet1!$E$23:$E$34,MATCH(A64,Sheet1!$D$23:$D$34,0))</f>
        <v>Claudia Verdugo Castro (2020) Informe de resutados de pesca de investigación asociado al permiso SUBPESCA, R. EX. N° E-2020-607 . Proyecto: Línea base limnológica Río Trainel cercano a la Piscicultura Trainel, región de Los Lagos. Mandante: Piscicultura Trainel.</v>
      </c>
      <c r="F64" s="13" t="s">
        <v>35</v>
      </c>
      <c r="G64" s="13" t="s">
        <v>163</v>
      </c>
      <c r="H64" s="13" t="s">
        <v>164</v>
      </c>
      <c r="I64" s="13">
        <v>2021</v>
      </c>
      <c r="J64" s="15">
        <v>0.54166666666666663</v>
      </c>
      <c r="K64" s="13" t="s">
        <v>169</v>
      </c>
      <c r="L64" s="16">
        <v>-42.662587000000002</v>
      </c>
      <c r="M64" s="16">
        <v>-73.890868999999995</v>
      </c>
      <c r="N64" s="13" t="s">
        <v>166</v>
      </c>
      <c r="O64" s="13" t="s">
        <v>77</v>
      </c>
      <c r="P64" s="13" t="s">
        <v>167</v>
      </c>
      <c r="Q64" s="17">
        <v>50</v>
      </c>
      <c r="R64" s="13" t="s">
        <v>41</v>
      </c>
      <c r="S64" s="17">
        <v>100</v>
      </c>
      <c r="T64" s="13" t="s">
        <v>42</v>
      </c>
      <c r="U64" s="13">
        <v>0</v>
      </c>
      <c r="V64" s="13" t="s">
        <v>43</v>
      </c>
      <c r="W64" s="13" t="s">
        <v>43</v>
      </c>
      <c r="X64" s="13" t="s">
        <v>77</v>
      </c>
      <c r="Y64" s="13" t="s">
        <v>167</v>
      </c>
      <c r="Z64" s="13">
        <v>50</v>
      </c>
      <c r="AA64" s="13">
        <v>0.4</v>
      </c>
      <c r="AB64" s="13">
        <v>1.8</v>
      </c>
      <c r="AC64" s="13">
        <v>1.6</v>
      </c>
      <c r="AD64" s="13">
        <v>0.5</v>
      </c>
      <c r="AE64" s="13">
        <v>50</v>
      </c>
      <c r="AF64" s="13">
        <v>4</v>
      </c>
      <c r="AG64" s="13">
        <v>6</v>
      </c>
      <c r="AH64" s="13">
        <v>5.6</v>
      </c>
      <c r="AI64" s="18">
        <v>0.7</v>
      </c>
    </row>
    <row r="65" spans="1:35" x14ac:dyDescent="0.3">
      <c r="A65" s="14" t="s">
        <v>158</v>
      </c>
      <c r="B65" s="13" t="s">
        <v>159</v>
      </c>
      <c r="C65" s="13" t="s">
        <v>160</v>
      </c>
      <c r="D65" s="13" t="s">
        <v>161</v>
      </c>
      <c r="E65" s="13" t="str">
        <f>INDEX(Sheet1!$E$23:$E$34,MATCH(A65,Sheet1!$D$23:$D$34,0))</f>
        <v>Claudia Verdugo Castro (2020) Informe de resutados de pesca de investigación asociado al permiso SUBPESCA, R. EX. N° E-2020-607 . Proyecto: Línea base limnológica Río Trainel cercano a la Piscicultura Trainel, región de Los Lagos. Mandante: Piscicultura Trainel.</v>
      </c>
      <c r="F65" s="13" t="s">
        <v>35</v>
      </c>
      <c r="G65" s="13" t="s">
        <v>163</v>
      </c>
      <c r="H65" s="13" t="s">
        <v>164</v>
      </c>
      <c r="I65" s="13">
        <v>2021</v>
      </c>
      <c r="J65" s="15">
        <v>0.54166666666666663</v>
      </c>
      <c r="K65" s="13" t="s">
        <v>169</v>
      </c>
      <c r="L65" s="16">
        <v>-42.662587000000002</v>
      </c>
      <c r="M65" s="16">
        <v>-73.890868999999995</v>
      </c>
      <c r="N65" s="13" t="s">
        <v>166</v>
      </c>
      <c r="O65" s="13" t="s">
        <v>45</v>
      </c>
      <c r="P65" s="13" t="s">
        <v>168</v>
      </c>
      <c r="Q65" s="17">
        <v>1</v>
      </c>
      <c r="R65" s="13" t="s">
        <v>41</v>
      </c>
      <c r="S65" s="17">
        <v>2</v>
      </c>
      <c r="T65" s="13" t="s">
        <v>42</v>
      </c>
      <c r="U65" s="13">
        <v>0</v>
      </c>
      <c r="V65" s="13" t="s">
        <v>43</v>
      </c>
      <c r="W65" s="13" t="s">
        <v>43</v>
      </c>
      <c r="X65" s="13" t="s">
        <v>45</v>
      </c>
      <c r="Y65" s="13" t="s">
        <v>168</v>
      </c>
      <c r="Z65" s="13">
        <v>1</v>
      </c>
      <c r="AB65" s="13">
        <v>1.2</v>
      </c>
      <c r="AC65" s="13">
        <v>1.2</v>
      </c>
      <c r="AD65" s="13">
        <v>0</v>
      </c>
      <c r="AE65" s="13">
        <v>1</v>
      </c>
      <c r="AG65" s="13">
        <v>4</v>
      </c>
      <c r="AH65" s="13">
        <v>4</v>
      </c>
      <c r="AI65" s="18">
        <v>0</v>
      </c>
    </row>
    <row r="66" spans="1:35" x14ac:dyDescent="0.3">
      <c r="A66" s="14" t="s">
        <v>170</v>
      </c>
      <c r="B66" s="13" t="s">
        <v>171</v>
      </c>
      <c r="C66" s="13" t="s">
        <v>172</v>
      </c>
      <c r="D66" s="13" t="s">
        <v>171</v>
      </c>
      <c r="E66" s="13" t="str">
        <f>INDEX(Sheet1!$E$23:$E$34,MATCH(A66,Sheet1!$D$23:$D$34,0))</f>
        <v>Jaime Illanes y Asociados Consultores S.A.  (2021) Informe de resutados de pesca de investigación asociado al permiso SUBPESCA, R. EX N°E-2021-074. Proyecto: Caracterización ecosistemas acuáticos continentales asociados al proyecto modificación Piscicultura los Tilcos, Río Chico Región de Los Lagos. Mandante: Piscicultura los Tilcos.</v>
      </c>
      <c r="G66" s="13" t="s">
        <v>173</v>
      </c>
      <c r="H66" s="13" t="s">
        <v>113</v>
      </c>
      <c r="I66" s="13">
        <v>2021</v>
      </c>
      <c r="J66" s="20" t="s">
        <v>62</v>
      </c>
      <c r="K66" s="13" t="s">
        <v>174</v>
      </c>
      <c r="L66" s="16" t="s">
        <v>175</v>
      </c>
      <c r="M66" s="16" t="s">
        <v>176</v>
      </c>
      <c r="N66" s="13" t="s">
        <v>166</v>
      </c>
      <c r="O66" s="13" t="s">
        <v>177</v>
      </c>
      <c r="P66" s="13" t="s">
        <v>178</v>
      </c>
      <c r="Q66" s="17">
        <v>3</v>
      </c>
      <c r="R66" s="13" t="s">
        <v>41</v>
      </c>
      <c r="S66" s="17">
        <v>0.25</v>
      </c>
      <c r="T66" s="13" t="s">
        <v>179</v>
      </c>
      <c r="U66" s="13" t="s">
        <v>62</v>
      </c>
      <c r="V66" s="13" t="s">
        <v>62</v>
      </c>
      <c r="W66" s="13" t="s">
        <v>62</v>
      </c>
      <c r="X66" s="13" t="s">
        <v>177</v>
      </c>
      <c r="Y66" s="13">
        <v>0</v>
      </c>
      <c r="Z66" s="13">
        <v>3</v>
      </c>
      <c r="AE66" s="13">
        <v>3</v>
      </c>
      <c r="AI66" s="18"/>
    </row>
    <row r="67" spans="1:35" x14ac:dyDescent="0.3">
      <c r="A67" s="14" t="s">
        <v>170</v>
      </c>
      <c r="B67" s="13" t="s">
        <v>171</v>
      </c>
      <c r="C67" s="13" t="s">
        <v>172</v>
      </c>
      <c r="D67" s="13" t="s">
        <v>171</v>
      </c>
      <c r="E67" s="13" t="str">
        <f>INDEX(Sheet1!$E$23:$E$34,MATCH(A67,Sheet1!$D$23:$D$34,0))</f>
        <v>Jaime Illanes y Asociados Consultores S.A.  (2021) Informe de resutados de pesca de investigación asociado al permiso SUBPESCA, R. EX N°E-2021-074. Proyecto: Caracterización ecosistemas acuáticos continentales asociados al proyecto modificación Piscicultura los Tilcos, Río Chico Región de Los Lagos. Mandante: Piscicultura los Tilcos.</v>
      </c>
      <c r="G67" s="13" t="s">
        <v>173</v>
      </c>
      <c r="H67" s="13" t="s">
        <v>113</v>
      </c>
      <c r="I67" s="13">
        <v>2021</v>
      </c>
      <c r="J67" s="20" t="s">
        <v>62</v>
      </c>
      <c r="K67" s="13" t="s">
        <v>174</v>
      </c>
      <c r="L67" s="16" t="s">
        <v>175</v>
      </c>
      <c r="M67" s="16" t="s">
        <v>176</v>
      </c>
      <c r="N67" s="13" t="s">
        <v>166</v>
      </c>
      <c r="O67" s="13" t="s">
        <v>77</v>
      </c>
      <c r="P67" s="13" t="s">
        <v>167</v>
      </c>
      <c r="Q67" s="17">
        <v>2</v>
      </c>
      <c r="R67" s="13" t="s">
        <v>41</v>
      </c>
      <c r="S67" s="17">
        <v>0.25</v>
      </c>
      <c r="T67" s="13" t="s">
        <v>179</v>
      </c>
      <c r="U67" s="13" t="s">
        <v>62</v>
      </c>
      <c r="V67" s="13" t="s">
        <v>62</v>
      </c>
      <c r="W67" s="13" t="s">
        <v>62</v>
      </c>
      <c r="X67" s="13" t="s">
        <v>77</v>
      </c>
      <c r="Y67" s="13">
        <v>0</v>
      </c>
      <c r="Z67" s="13">
        <v>2</v>
      </c>
      <c r="AE67" s="13">
        <v>2</v>
      </c>
      <c r="AI67" s="18"/>
    </row>
    <row r="68" spans="1:35" x14ac:dyDescent="0.3">
      <c r="A68" s="14" t="s">
        <v>170</v>
      </c>
      <c r="B68" s="13" t="s">
        <v>171</v>
      </c>
      <c r="C68" s="13" t="s">
        <v>172</v>
      </c>
      <c r="D68" s="13" t="s">
        <v>171</v>
      </c>
      <c r="E68" s="13" t="str">
        <f>INDEX(Sheet1!$E$23:$E$34,MATCH(A68,Sheet1!$D$23:$D$34,0))</f>
        <v>Jaime Illanes y Asociados Consultores S.A.  (2021) Informe de resutados de pesca de investigación asociado al permiso SUBPESCA, R. EX N°E-2021-074. Proyecto: Caracterización ecosistemas acuáticos continentales asociados al proyecto modificación Piscicultura los Tilcos, Río Chico Región de Los Lagos. Mandante: Piscicultura los Tilcos.</v>
      </c>
      <c r="G68" s="13" t="s">
        <v>173</v>
      </c>
      <c r="H68" s="13" t="s">
        <v>113</v>
      </c>
      <c r="I68" s="13">
        <v>2021</v>
      </c>
      <c r="J68" s="20" t="s">
        <v>62</v>
      </c>
      <c r="K68" s="13" t="s">
        <v>180</v>
      </c>
      <c r="L68" s="16" t="s">
        <v>181</v>
      </c>
      <c r="M68" s="16" t="s">
        <v>182</v>
      </c>
      <c r="N68" s="13" t="s">
        <v>166</v>
      </c>
      <c r="O68" s="13" t="s">
        <v>77</v>
      </c>
      <c r="P68" s="13" t="s">
        <v>167</v>
      </c>
      <c r="Q68" s="17">
        <v>7</v>
      </c>
      <c r="R68" s="13" t="s">
        <v>41</v>
      </c>
      <c r="S68" s="17">
        <v>0.5</v>
      </c>
      <c r="T68" s="13" t="s">
        <v>179</v>
      </c>
      <c r="U68" s="13" t="s">
        <v>62</v>
      </c>
      <c r="V68" s="13" t="s">
        <v>62</v>
      </c>
      <c r="W68" s="13" t="s">
        <v>62</v>
      </c>
      <c r="X68" s="13" t="s">
        <v>77</v>
      </c>
      <c r="Y68" s="13">
        <v>0</v>
      </c>
      <c r="Z68" s="13">
        <v>7</v>
      </c>
      <c r="AE68" s="13">
        <v>7</v>
      </c>
      <c r="AI68" s="18"/>
    </row>
    <row r="69" spans="1:35" x14ac:dyDescent="0.3">
      <c r="A69" s="14" t="s">
        <v>170</v>
      </c>
      <c r="B69" s="13" t="s">
        <v>171</v>
      </c>
      <c r="C69" s="13" t="s">
        <v>172</v>
      </c>
      <c r="D69" s="13" t="s">
        <v>171</v>
      </c>
      <c r="E69" s="13" t="str">
        <f>INDEX(Sheet1!$E$23:$E$34,MATCH(A69,Sheet1!$D$23:$D$34,0))</f>
        <v>Jaime Illanes y Asociados Consultores S.A.  (2021) Informe de resutados de pesca de investigación asociado al permiso SUBPESCA, R. EX N°E-2021-074. Proyecto: Caracterización ecosistemas acuáticos continentales asociados al proyecto modificación Piscicultura los Tilcos, Río Chico Región de Los Lagos. Mandante: Piscicultura los Tilcos.</v>
      </c>
      <c r="G69" s="13" t="s">
        <v>173</v>
      </c>
      <c r="H69" s="13" t="s">
        <v>113</v>
      </c>
      <c r="I69" s="13">
        <v>2021</v>
      </c>
      <c r="J69" s="20" t="s">
        <v>62</v>
      </c>
      <c r="K69" s="13" t="s">
        <v>180</v>
      </c>
      <c r="L69" s="16" t="s">
        <v>181</v>
      </c>
      <c r="M69" s="16" t="s">
        <v>182</v>
      </c>
      <c r="N69" s="13" t="s">
        <v>166</v>
      </c>
      <c r="O69" s="13" t="s">
        <v>147</v>
      </c>
      <c r="P69" s="13" t="s">
        <v>183</v>
      </c>
      <c r="Q69" s="17">
        <v>3</v>
      </c>
      <c r="R69" s="13" t="s">
        <v>41</v>
      </c>
      <c r="S69" s="17">
        <v>0.5</v>
      </c>
      <c r="T69" s="13" t="s">
        <v>179</v>
      </c>
      <c r="U69" s="13" t="s">
        <v>62</v>
      </c>
      <c r="V69" s="13" t="s">
        <v>62</v>
      </c>
      <c r="W69" s="13" t="s">
        <v>62</v>
      </c>
      <c r="X69" s="13" t="s">
        <v>147</v>
      </c>
      <c r="Y69" s="13">
        <v>0</v>
      </c>
      <c r="Z69" s="13">
        <v>3</v>
      </c>
      <c r="AE69" s="13">
        <v>3</v>
      </c>
      <c r="AI69" s="18"/>
    </row>
    <row r="70" spans="1:35" x14ac:dyDescent="0.3">
      <c r="A70" s="14" t="s">
        <v>170</v>
      </c>
      <c r="B70" s="13" t="s">
        <v>171</v>
      </c>
      <c r="C70" s="13" t="s">
        <v>172</v>
      </c>
      <c r="D70" s="13" t="s">
        <v>171</v>
      </c>
      <c r="E70" s="13" t="str">
        <f>INDEX(Sheet1!$E$23:$E$34,MATCH(A70,Sheet1!$D$23:$D$34,0))</f>
        <v>Jaime Illanes y Asociados Consultores S.A.  (2021) Informe de resutados de pesca de investigación asociado al permiso SUBPESCA, R. EX N°E-2021-074. Proyecto: Caracterización ecosistemas acuáticos continentales asociados al proyecto modificación Piscicultura los Tilcos, Río Chico Región de Los Lagos. Mandante: Piscicultura los Tilcos.</v>
      </c>
      <c r="G70" s="13" t="s">
        <v>173</v>
      </c>
      <c r="H70" s="13" t="s">
        <v>113</v>
      </c>
      <c r="I70" s="13">
        <v>2021</v>
      </c>
      <c r="J70" s="20" t="s">
        <v>62</v>
      </c>
      <c r="K70" s="13" t="s">
        <v>184</v>
      </c>
      <c r="L70" s="16" t="s">
        <v>185</v>
      </c>
      <c r="M70" s="16" t="s">
        <v>186</v>
      </c>
      <c r="N70" s="13" t="s">
        <v>166</v>
      </c>
      <c r="O70" s="13" t="s">
        <v>147</v>
      </c>
      <c r="P70" s="13" t="s">
        <v>183</v>
      </c>
      <c r="Q70" s="17">
        <v>4</v>
      </c>
      <c r="R70" s="13" t="s">
        <v>41</v>
      </c>
      <c r="S70" s="17">
        <v>0.25</v>
      </c>
      <c r="T70" s="13" t="s">
        <v>179</v>
      </c>
      <c r="U70" s="13" t="s">
        <v>62</v>
      </c>
      <c r="V70" s="13" t="s">
        <v>62</v>
      </c>
      <c r="W70" s="13" t="s">
        <v>62</v>
      </c>
      <c r="X70" s="13" t="s">
        <v>147</v>
      </c>
      <c r="Y70" s="13">
        <v>0</v>
      </c>
      <c r="Z70" s="13">
        <v>4</v>
      </c>
      <c r="AE70" s="13">
        <v>4</v>
      </c>
      <c r="AI70" s="18"/>
    </row>
    <row r="71" spans="1:35" x14ac:dyDescent="0.3">
      <c r="A71" s="14" t="s">
        <v>170</v>
      </c>
      <c r="B71" s="13" t="s">
        <v>171</v>
      </c>
      <c r="C71" s="13" t="s">
        <v>172</v>
      </c>
      <c r="D71" s="13" t="s">
        <v>171</v>
      </c>
      <c r="E71" s="13" t="str">
        <f>INDEX(Sheet1!$E$23:$E$34,MATCH(A71,Sheet1!$D$23:$D$34,0))</f>
        <v>Jaime Illanes y Asociados Consultores S.A.  (2021) Informe de resutados de pesca de investigación asociado al permiso SUBPESCA, R. EX N°E-2021-074. Proyecto: Caracterización ecosistemas acuáticos continentales asociados al proyecto modificación Piscicultura los Tilcos, Río Chico Región de Los Lagos. Mandante: Piscicultura los Tilcos.</v>
      </c>
      <c r="G71" s="13" t="s">
        <v>173</v>
      </c>
      <c r="H71" s="13" t="s">
        <v>113</v>
      </c>
      <c r="I71" s="13">
        <v>2021</v>
      </c>
      <c r="J71" s="20" t="s">
        <v>62</v>
      </c>
      <c r="K71" s="13" t="s">
        <v>184</v>
      </c>
      <c r="L71" s="16" t="s">
        <v>185</v>
      </c>
      <c r="M71" s="16" t="s">
        <v>186</v>
      </c>
      <c r="N71" s="13" t="s">
        <v>166</v>
      </c>
      <c r="O71" s="13" t="s">
        <v>39</v>
      </c>
      <c r="P71" s="13" t="s">
        <v>40</v>
      </c>
      <c r="Q71" s="17">
        <v>1</v>
      </c>
      <c r="R71" s="13" t="s">
        <v>41</v>
      </c>
      <c r="S71" s="17">
        <v>0.25</v>
      </c>
      <c r="T71" s="13" t="s">
        <v>179</v>
      </c>
      <c r="U71" s="13" t="s">
        <v>62</v>
      </c>
      <c r="V71" s="13" t="s">
        <v>62</v>
      </c>
      <c r="W71" s="13" t="s">
        <v>62</v>
      </c>
      <c r="X71" s="13" t="s">
        <v>39</v>
      </c>
      <c r="Y71" s="13">
        <v>0</v>
      </c>
      <c r="Z71" s="13">
        <v>1</v>
      </c>
      <c r="AE71" s="13">
        <v>1</v>
      </c>
      <c r="AI71" s="18"/>
    </row>
    <row r="72" spans="1:35" x14ac:dyDescent="0.3">
      <c r="A72" s="14" t="s">
        <v>170</v>
      </c>
      <c r="B72" s="13" t="s">
        <v>171</v>
      </c>
      <c r="C72" s="13" t="s">
        <v>172</v>
      </c>
      <c r="D72" s="13" t="s">
        <v>171</v>
      </c>
      <c r="E72" s="13" t="str">
        <f>INDEX(Sheet1!$E$23:$E$34,MATCH(A72,Sheet1!$D$23:$D$34,0))</f>
        <v>Jaime Illanes y Asociados Consultores S.A.  (2021) Informe de resutados de pesca de investigación asociado al permiso SUBPESCA, R. EX N°E-2021-074. Proyecto: Caracterización ecosistemas acuáticos continentales asociados al proyecto modificación Piscicultura los Tilcos, Río Chico Región de Los Lagos. Mandante: Piscicultura los Tilcos.</v>
      </c>
      <c r="G72" s="13" t="s">
        <v>173</v>
      </c>
      <c r="H72" s="13" t="s">
        <v>113</v>
      </c>
      <c r="I72" s="13">
        <v>2021</v>
      </c>
      <c r="J72" s="20" t="s">
        <v>62</v>
      </c>
      <c r="K72" s="13" t="s">
        <v>187</v>
      </c>
      <c r="L72" s="16" t="s">
        <v>188</v>
      </c>
      <c r="M72" s="16" t="s">
        <v>189</v>
      </c>
      <c r="N72" s="13" t="s">
        <v>166</v>
      </c>
      <c r="O72" s="13" t="s">
        <v>147</v>
      </c>
      <c r="P72" s="13" t="s">
        <v>183</v>
      </c>
      <c r="Q72" s="17">
        <v>5</v>
      </c>
      <c r="R72" s="13" t="s">
        <v>41</v>
      </c>
      <c r="S72" s="17">
        <v>0.25</v>
      </c>
      <c r="T72" s="13" t="s">
        <v>179</v>
      </c>
      <c r="U72" s="13" t="s">
        <v>62</v>
      </c>
      <c r="V72" s="13" t="s">
        <v>62</v>
      </c>
      <c r="W72" s="13" t="s">
        <v>62</v>
      </c>
      <c r="X72" s="13" t="s">
        <v>147</v>
      </c>
      <c r="Y72" s="13">
        <v>0</v>
      </c>
      <c r="Z72" s="13">
        <v>5</v>
      </c>
      <c r="AE72" s="13">
        <v>5</v>
      </c>
      <c r="AI72" s="18"/>
    </row>
    <row r="73" spans="1:35" x14ac:dyDescent="0.3">
      <c r="A73" s="14" t="s">
        <v>190</v>
      </c>
      <c r="B73" s="13" t="s">
        <v>191</v>
      </c>
      <c r="C73" s="13" t="s">
        <v>192</v>
      </c>
      <c r="D73" s="13" t="s">
        <v>193</v>
      </c>
      <c r="E73" s="13" t="str">
        <f>INDEX(Sheet1!$E$23:$E$34,MATCH(A73,Sheet1!$D$23:$D$34,0))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73" s="13" t="s">
        <v>194</v>
      </c>
      <c r="H73" s="13" t="s">
        <v>37</v>
      </c>
      <c r="I73" s="13">
        <v>2017</v>
      </c>
      <c r="J73" s="22">
        <v>0.53819444444444442</v>
      </c>
      <c r="K73" s="13" t="s">
        <v>195</v>
      </c>
      <c r="L73" s="16" t="s">
        <v>196</v>
      </c>
      <c r="M73" s="16" t="s">
        <v>197</v>
      </c>
      <c r="O73" s="13" t="s">
        <v>77</v>
      </c>
      <c r="P73" s="13" t="s">
        <v>198</v>
      </c>
      <c r="Q73" s="17">
        <v>4</v>
      </c>
      <c r="R73" s="13" t="s">
        <v>199</v>
      </c>
      <c r="S73" s="17" t="s">
        <v>62</v>
      </c>
      <c r="T73" s="13" t="s">
        <v>62</v>
      </c>
      <c r="U73" s="13" t="s">
        <v>62</v>
      </c>
      <c r="V73" s="13" t="s">
        <v>62</v>
      </c>
      <c r="W73" s="13" t="s">
        <v>62</v>
      </c>
      <c r="X73" s="13" t="s">
        <v>77</v>
      </c>
      <c r="Z73" s="13">
        <v>4</v>
      </c>
      <c r="AA73" s="13">
        <v>8</v>
      </c>
      <c r="AB73" s="13">
        <v>9</v>
      </c>
      <c r="AC73" s="13">
        <v>8.5</v>
      </c>
      <c r="AE73" s="13">
        <v>4</v>
      </c>
      <c r="AF73" s="13">
        <v>6.5</v>
      </c>
      <c r="AG73" s="13">
        <v>7.5</v>
      </c>
      <c r="AH73" s="13">
        <v>7</v>
      </c>
      <c r="AI73" s="18"/>
    </row>
    <row r="74" spans="1:35" x14ac:dyDescent="0.3">
      <c r="A74" s="14" t="s">
        <v>190</v>
      </c>
      <c r="B74" s="13" t="s">
        <v>191</v>
      </c>
      <c r="C74" s="13" t="s">
        <v>192</v>
      </c>
      <c r="D74" s="13" t="s">
        <v>193</v>
      </c>
      <c r="E74" s="13" t="str">
        <f>INDEX(Sheet1!$E$23:$E$34,MATCH(A74,Sheet1!$D$23:$D$34,0))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74" s="13" t="s">
        <v>194</v>
      </c>
      <c r="H74" s="13" t="s">
        <v>37</v>
      </c>
      <c r="I74" s="13">
        <v>2017</v>
      </c>
      <c r="J74" s="22">
        <v>0.53819444444444442</v>
      </c>
      <c r="K74" s="13" t="s">
        <v>195</v>
      </c>
      <c r="L74" s="16" t="s">
        <v>196</v>
      </c>
      <c r="M74" s="16" t="s">
        <v>197</v>
      </c>
      <c r="O74" s="13" t="s">
        <v>45</v>
      </c>
      <c r="P74" s="13" t="s">
        <v>168</v>
      </c>
      <c r="Q74" s="17">
        <v>2</v>
      </c>
      <c r="R74" s="13" t="s">
        <v>199</v>
      </c>
      <c r="S74" s="17" t="s">
        <v>62</v>
      </c>
      <c r="T74" s="13" t="s">
        <v>62</v>
      </c>
      <c r="U74" s="13" t="s">
        <v>62</v>
      </c>
      <c r="V74" s="13" t="s">
        <v>62</v>
      </c>
      <c r="W74" s="13" t="s">
        <v>62</v>
      </c>
      <c r="X74" s="13" t="s">
        <v>45</v>
      </c>
      <c r="Z74" s="13">
        <v>2</v>
      </c>
      <c r="AA74" s="13">
        <v>10</v>
      </c>
      <c r="AB74" s="13">
        <v>12</v>
      </c>
      <c r="AC74" s="13">
        <v>11</v>
      </c>
      <c r="AE74" s="13">
        <v>2</v>
      </c>
      <c r="AF74" s="13">
        <v>6</v>
      </c>
      <c r="AG74" s="13">
        <v>7</v>
      </c>
      <c r="AH74" s="13">
        <v>6.5</v>
      </c>
      <c r="AI74" s="18"/>
    </row>
    <row r="75" spans="1:35" x14ac:dyDescent="0.3">
      <c r="A75" s="14" t="s">
        <v>190</v>
      </c>
      <c r="B75" s="13" t="s">
        <v>191</v>
      </c>
      <c r="C75" s="13" t="s">
        <v>192</v>
      </c>
      <c r="D75" s="13" t="s">
        <v>193</v>
      </c>
      <c r="E75" s="13" t="str">
        <f>INDEX(Sheet1!$E$23:$E$34,MATCH(A75,Sheet1!$D$23:$D$34,0))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75" s="13" t="s">
        <v>194</v>
      </c>
      <c r="H75" s="13" t="s">
        <v>37</v>
      </c>
      <c r="I75" s="13">
        <v>2017</v>
      </c>
      <c r="J75" s="22">
        <v>0.53819444444444442</v>
      </c>
      <c r="K75" s="13" t="s">
        <v>195</v>
      </c>
      <c r="L75" s="16" t="s">
        <v>196</v>
      </c>
      <c r="M75" s="16" t="s">
        <v>197</v>
      </c>
      <c r="O75" s="13" t="s">
        <v>75</v>
      </c>
      <c r="P75" s="13" t="s">
        <v>200</v>
      </c>
      <c r="Q75" s="17">
        <v>1</v>
      </c>
      <c r="R75" s="13" t="s">
        <v>199</v>
      </c>
      <c r="S75" s="17" t="s">
        <v>62</v>
      </c>
      <c r="T75" s="13" t="s">
        <v>62</v>
      </c>
      <c r="U75" s="13" t="s">
        <v>62</v>
      </c>
      <c r="V75" s="13" t="s">
        <v>62</v>
      </c>
      <c r="W75" s="13" t="s">
        <v>62</v>
      </c>
      <c r="X75" s="13" t="s">
        <v>75</v>
      </c>
      <c r="Z75" s="13">
        <v>1</v>
      </c>
      <c r="AB75" s="13">
        <v>13</v>
      </c>
      <c r="AC75" s="13">
        <v>13</v>
      </c>
      <c r="AE75" s="13">
        <v>1</v>
      </c>
      <c r="AG75" s="13">
        <v>9</v>
      </c>
      <c r="AH75" s="13">
        <v>9</v>
      </c>
      <c r="AI75" s="18"/>
    </row>
    <row r="76" spans="1:35" x14ac:dyDescent="0.3">
      <c r="A76" s="14" t="s">
        <v>190</v>
      </c>
      <c r="B76" s="13" t="s">
        <v>191</v>
      </c>
      <c r="C76" s="13" t="s">
        <v>192</v>
      </c>
      <c r="D76" s="13" t="s">
        <v>193</v>
      </c>
      <c r="E76" s="13" t="str">
        <f>INDEX(Sheet1!$E$23:$E$34,MATCH(A76,Sheet1!$D$23:$D$34,0))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76" s="13" t="s">
        <v>194</v>
      </c>
      <c r="H76" s="13" t="s">
        <v>37</v>
      </c>
      <c r="I76" s="13">
        <v>2017</v>
      </c>
      <c r="J76" s="22">
        <v>0.52430555555555558</v>
      </c>
      <c r="K76" s="13" t="s">
        <v>201</v>
      </c>
      <c r="L76" s="16" t="s">
        <v>202</v>
      </c>
      <c r="M76" s="16" t="s">
        <v>203</v>
      </c>
      <c r="O76" s="13" t="s">
        <v>77</v>
      </c>
      <c r="P76" s="13" t="s">
        <v>198</v>
      </c>
      <c r="Q76" s="17">
        <v>6</v>
      </c>
      <c r="R76" s="13" t="s">
        <v>199</v>
      </c>
      <c r="S76" s="17" t="s">
        <v>62</v>
      </c>
      <c r="T76" s="13" t="s">
        <v>62</v>
      </c>
      <c r="U76" s="13" t="s">
        <v>62</v>
      </c>
      <c r="V76" s="13" t="s">
        <v>62</v>
      </c>
      <c r="W76" s="13" t="s">
        <v>62</v>
      </c>
      <c r="X76" s="13" t="s">
        <v>77</v>
      </c>
      <c r="Z76" s="13">
        <v>6</v>
      </c>
      <c r="AA76" s="13">
        <v>8</v>
      </c>
      <c r="AB76" s="13">
        <v>9</v>
      </c>
      <c r="AC76" s="13">
        <v>8.6669999999999998</v>
      </c>
      <c r="AE76" s="13">
        <v>6</v>
      </c>
      <c r="AF76" s="13">
        <v>6</v>
      </c>
      <c r="AG76" s="13">
        <v>7</v>
      </c>
      <c r="AH76" s="13">
        <v>6.6669999999999998</v>
      </c>
      <c r="AI76" s="18"/>
    </row>
    <row r="77" spans="1:35" x14ac:dyDescent="0.3">
      <c r="A77" s="14" t="s">
        <v>190</v>
      </c>
      <c r="B77" s="13" t="s">
        <v>191</v>
      </c>
      <c r="C77" s="13" t="s">
        <v>192</v>
      </c>
      <c r="D77" s="13" t="s">
        <v>193</v>
      </c>
      <c r="E77" s="13" t="str">
        <f>INDEX(Sheet1!$E$23:$E$34,MATCH(A77,Sheet1!$D$23:$D$34,0))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77" s="13" t="s">
        <v>194</v>
      </c>
      <c r="H77" s="13" t="s">
        <v>37</v>
      </c>
      <c r="I77" s="13">
        <v>2017</v>
      </c>
      <c r="J77" s="22">
        <v>0.52430555555555558</v>
      </c>
      <c r="K77" s="13" t="s">
        <v>201</v>
      </c>
      <c r="L77" s="16" t="s">
        <v>202</v>
      </c>
      <c r="M77" s="16" t="s">
        <v>203</v>
      </c>
      <c r="O77" s="13" t="s">
        <v>75</v>
      </c>
      <c r="P77" s="13" t="s">
        <v>200</v>
      </c>
      <c r="Q77" s="17">
        <v>3</v>
      </c>
      <c r="R77" s="13" t="s">
        <v>199</v>
      </c>
      <c r="S77" s="17" t="s">
        <v>62</v>
      </c>
      <c r="T77" s="13" t="s">
        <v>62</v>
      </c>
      <c r="U77" s="13" t="s">
        <v>62</v>
      </c>
      <c r="V77" s="13" t="s">
        <v>62</v>
      </c>
      <c r="W77" s="13" t="s">
        <v>62</v>
      </c>
      <c r="X77" s="13" t="s">
        <v>75</v>
      </c>
      <c r="Z77" s="13">
        <v>3</v>
      </c>
      <c r="AA77" s="13">
        <v>10</v>
      </c>
      <c r="AB77" s="13">
        <v>15</v>
      </c>
      <c r="AC77" s="13">
        <v>11.667</v>
      </c>
      <c r="AE77" s="13">
        <v>3</v>
      </c>
      <c r="AF77" s="13">
        <v>7</v>
      </c>
      <c r="AG77" s="13">
        <v>11</v>
      </c>
      <c r="AH77" s="13">
        <v>8.3330000000000002</v>
      </c>
      <c r="AI77" s="18"/>
    </row>
    <row r="78" spans="1:35" x14ac:dyDescent="0.3">
      <c r="A78" s="14" t="s">
        <v>190</v>
      </c>
      <c r="B78" s="13" t="s">
        <v>191</v>
      </c>
      <c r="C78" s="13" t="s">
        <v>192</v>
      </c>
      <c r="D78" s="13" t="s">
        <v>193</v>
      </c>
      <c r="E78" s="13" t="str">
        <f>INDEX(Sheet1!$E$23:$E$34,MATCH(A78,Sheet1!$D$23:$D$34,0))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78" s="13" t="s">
        <v>194</v>
      </c>
      <c r="H78" s="13" t="s">
        <v>37</v>
      </c>
      <c r="I78" s="13">
        <v>2017</v>
      </c>
      <c r="J78" s="22">
        <v>0.57638888888888895</v>
      </c>
      <c r="K78" s="13" t="s">
        <v>204</v>
      </c>
      <c r="L78" s="16" t="s">
        <v>205</v>
      </c>
      <c r="M78" s="16" t="s">
        <v>206</v>
      </c>
      <c r="O78" s="13" t="s">
        <v>177</v>
      </c>
      <c r="P78" s="13" t="s">
        <v>178</v>
      </c>
      <c r="Q78" s="17">
        <v>1</v>
      </c>
      <c r="R78" s="13" t="s">
        <v>199</v>
      </c>
      <c r="S78" s="17" t="s">
        <v>62</v>
      </c>
      <c r="T78" s="13" t="s">
        <v>62</v>
      </c>
      <c r="U78" s="13" t="s">
        <v>62</v>
      </c>
      <c r="V78" s="13" t="s">
        <v>62</v>
      </c>
      <c r="W78" s="13" t="s">
        <v>62</v>
      </c>
      <c r="X78" s="13" t="s">
        <v>177</v>
      </c>
      <c r="Z78" s="13">
        <v>1</v>
      </c>
      <c r="AB78" s="13">
        <v>4</v>
      </c>
      <c r="AC78" s="13">
        <v>4</v>
      </c>
      <c r="AE78" s="13">
        <v>1</v>
      </c>
      <c r="AG78" s="13">
        <v>7</v>
      </c>
      <c r="AH78" s="13">
        <v>7</v>
      </c>
      <c r="AI78" s="18"/>
    </row>
    <row r="79" spans="1:35" x14ac:dyDescent="0.3">
      <c r="A79" s="14" t="s">
        <v>190</v>
      </c>
      <c r="B79" s="13" t="s">
        <v>191</v>
      </c>
      <c r="C79" s="13" t="s">
        <v>192</v>
      </c>
      <c r="D79" s="13" t="s">
        <v>193</v>
      </c>
      <c r="E79" s="13" t="str">
        <f>INDEX(Sheet1!$E$23:$E$34,MATCH(A79,Sheet1!$D$23:$D$34,0))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79" s="13" t="s">
        <v>194</v>
      </c>
      <c r="H79" s="13" t="s">
        <v>37</v>
      </c>
      <c r="I79" s="13">
        <v>2017</v>
      </c>
      <c r="J79" s="22">
        <v>0.57638888888888895</v>
      </c>
      <c r="K79" s="13" t="s">
        <v>204</v>
      </c>
      <c r="L79" s="16" t="s">
        <v>205</v>
      </c>
      <c r="M79" s="16" t="s">
        <v>206</v>
      </c>
      <c r="O79" s="13" t="s">
        <v>77</v>
      </c>
      <c r="P79" s="13" t="s">
        <v>198</v>
      </c>
      <c r="Q79" s="17">
        <v>2</v>
      </c>
      <c r="R79" s="13" t="s">
        <v>199</v>
      </c>
      <c r="S79" s="17" t="s">
        <v>62</v>
      </c>
      <c r="T79" s="13" t="s">
        <v>62</v>
      </c>
      <c r="U79" s="13" t="s">
        <v>62</v>
      </c>
      <c r="V79" s="13" t="s">
        <v>62</v>
      </c>
      <c r="W79" s="13" t="s">
        <v>62</v>
      </c>
      <c r="X79" s="13" t="s">
        <v>77</v>
      </c>
      <c r="Z79" s="13">
        <v>2</v>
      </c>
      <c r="AA79" s="13">
        <v>8</v>
      </c>
      <c r="AB79" s="13">
        <v>9</v>
      </c>
      <c r="AC79" s="13">
        <v>8.5</v>
      </c>
      <c r="AE79" s="13">
        <v>2</v>
      </c>
      <c r="AF79" s="13">
        <v>6.5</v>
      </c>
      <c r="AG79" s="13">
        <v>7</v>
      </c>
      <c r="AH79" s="13">
        <v>6.75</v>
      </c>
      <c r="AI79" s="18"/>
    </row>
    <row r="80" spans="1:35" x14ac:dyDescent="0.3">
      <c r="A80" s="14" t="s">
        <v>190</v>
      </c>
      <c r="B80" s="13" t="s">
        <v>191</v>
      </c>
      <c r="C80" s="13" t="s">
        <v>192</v>
      </c>
      <c r="D80" s="13" t="s">
        <v>193</v>
      </c>
      <c r="E80" s="13" t="str">
        <f>INDEX(Sheet1!$E$23:$E$34,MATCH(A80,Sheet1!$D$23:$D$34,0))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80" s="13" t="s">
        <v>194</v>
      </c>
      <c r="H80" s="13" t="s">
        <v>37</v>
      </c>
      <c r="I80" s="13">
        <v>2017</v>
      </c>
      <c r="J80" s="22">
        <v>0.58680555555555558</v>
      </c>
      <c r="K80" s="13" t="s">
        <v>207</v>
      </c>
      <c r="L80" s="16" t="s">
        <v>208</v>
      </c>
      <c r="M80" s="16" t="s">
        <v>209</v>
      </c>
      <c r="O80" s="13" t="s">
        <v>77</v>
      </c>
      <c r="P80" s="13" t="s">
        <v>198</v>
      </c>
      <c r="Q80" s="17">
        <v>7</v>
      </c>
      <c r="R80" s="13" t="s">
        <v>199</v>
      </c>
      <c r="S80" s="17" t="s">
        <v>62</v>
      </c>
      <c r="T80" s="13" t="s">
        <v>62</v>
      </c>
      <c r="U80" s="13" t="s">
        <v>62</v>
      </c>
      <c r="V80" s="13" t="s">
        <v>62</v>
      </c>
      <c r="W80" s="13" t="s">
        <v>62</v>
      </c>
      <c r="X80" s="13" t="s">
        <v>77</v>
      </c>
      <c r="Z80" s="13">
        <v>7</v>
      </c>
      <c r="AA80" s="13">
        <v>8</v>
      </c>
      <c r="AB80" s="13">
        <v>11</v>
      </c>
      <c r="AC80" s="13">
        <v>9.4290000000000003</v>
      </c>
      <c r="AE80" s="13">
        <v>7</v>
      </c>
      <c r="AF80" s="13">
        <v>6.5</v>
      </c>
      <c r="AG80" s="13">
        <v>10</v>
      </c>
      <c r="AH80" s="13">
        <v>8.07</v>
      </c>
      <c r="AI80" s="18"/>
    </row>
    <row r="81" spans="1:35" x14ac:dyDescent="0.3">
      <c r="A81" s="14" t="s">
        <v>190</v>
      </c>
      <c r="B81" s="13" t="s">
        <v>191</v>
      </c>
      <c r="C81" s="13" t="s">
        <v>192</v>
      </c>
      <c r="D81" s="13" t="s">
        <v>193</v>
      </c>
      <c r="E81" s="13" t="str">
        <f>INDEX(Sheet1!$E$23:$E$34,MATCH(A81,Sheet1!$D$23:$D$34,0))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81" s="13" t="s">
        <v>194</v>
      </c>
      <c r="H81" s="13" t="s">
        <v>37</v>
      </c>
      <c r="I81" s="13">
        <v>2017</v>
      </c>
      <c r="J81" s="22">
        <v>0.58680555555555558</v>
      </c>
      <c r="K81" s="13" t="s">
        <v>207</v>
      </c>
      <c r="L81" s="16" t="s">
        <v>208</v>
      </c>
      <c r="M81" s="16" t="s">
        <v>209</v>
      </c>
      <c r="O81" s="13" t="s">
        <v>75</v>
      </c>
      <c r="P81" s="13" t="s">
        <v>200</v>
      </c>
      <c r="Q81" s="17">
        <v>1</v>
      </c>
      <c r="R81" s="13" t="s">
        <v>199</v>
      </c>
      <c r="S81" s="17" t="s">
        <v>62</v>
      </c>
      <c r="T81" s="13" t="s">
        <v>62</v>
      </c>
      <c r="U81" s="13" t="s">
        <v>62</v>
      </c>
      <c r="V81" s="13" t="s">
        <v>62</v>
      </c>
      <c r="W81" s="13" t="s">
        <v>62</v>
      </c>
      <c r="X81" s="13" t="s">
        <v>75</v>
      </c>
      <c r="Z81" s="13">
        <v>1</v>
      </c>
      <c r="AB81" s="13">
        <v>10</v>
      </c>
      <c r="AC81" s="13">
        <v>10</v>
      </c>
      <c r="AE81" s="13">
        <v>1</v>
      </c>
      <c r="AG81" s="13">
        <v>9</v>
      </c>
      <c r="AH81" s="13">
        <v>9</v>
      </c>
      <c r="AI81" s="18"/>
    </row>
    <row r="82" spans="1:35" x14ac:dyDescent="0.3">
      <c r="A82" s="14" t="s">
        <v>190</v>
      </c>
      <c r="B82" s="13" t="s">
        <v>191</v>
      </c>
      <c r="C82" s="13" t="s">
        <v>192</v>
      </c>
      <c r="D82" s="13" t="s">
        <v>193</v>
      </c>
      <c r="E82" s="13" t="str">
        <f>INDEX(Sheet1!$E$23:$E$34,MATCH(A82,Sheet1!$D$23:$D$34,0))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82" s="13" t="s">
        <v>194</v>
      </c>
      <c r="H82" s="13" t="s">
        <v>37</v>
      </c>
      <c r="I82" s="13">
        <v>2017</v>
      </c>
      <c r="J82" s="22">
        <v>0.60416666666666663</v>
      </c>
      <c r="K82" s="13" t="s">
        <v>210</v>
      </c>
      <c r="L82" s="16" t="s">
        <v>211</v>
      </c>
      <c r="M82" s="16" t="s">
        <v>212</v>
      </c>
      <c r="O82" s="13" t="s">
        <v>77</v>
      </c>
      <c r="P82" s="13" t="s">
        <v>198</v>
      </c>
      <c r="Q82" s="17">
        <v>2</v>
      </c>
      <c r="R82" s="13" t="s">
        <v>199</v>
      </c>
      <c r="S82" s="17" t="s">
        <v>62</v>
      </c>
      <c r="T82" s="13" t="s">
        <v>62</v>
      </c>
      <c r="U82" s="13" t="s">
        <v>62</v>
      </c>
      <c r="V82" s="13" t="s">
        <v>62</v>
      </c>
      <c r="W82" s="13" t="s">
        <v>62</v>
      </c>
      <c r="X82" s="13" t="s">
        <v>77</v>
      </c>
      <c r="Z82" s="13">
        <v>2</v>
      </c>
      <c r="AA82" s="13">
        <v>8</v>
      </c>
      <c r="AB82" s="13">
        <v>11</v>
      </c>
      <c r="AC82" s="13">
        <v>9.5</v>
      </c>
      <c r="AE82" s="13">
        <v>2</v>
      </c>
      <c r="AF82" s="13">
        <v>6</v>
      </c>
      <c r="AG82" s="13">
        <v>10</v>
      </c>
      <c r="AH82" s="13">
        <v>8</v>
      </c>
      <c r="AI82" s="18"/>
    </row>
    <row r="83" spans="1:35" x14ac:dyDescent="0.3">
      <c r="A83" s="14" t="s">
        <v>190</v>
      </c>
      <c r="B83" s="13" t="s">
        <v>191</v>
      </c>
      <c r="C83" s="13" t="s">
        <v>192</v>
      </c>
      <c r="D83" s="13" t="s">
        <v>193</v>
      </c>
      <c r="E83" s="13" t="str">
        <f>INDEX(Sheet1!$E$23:$E$34,MATCH(A83,Sheet1!$D$23:$D$34,0))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83" s="13" t="s">
        <v>194</v>
      </c>
      <c r="H83" s="13" t="s">
        <v>37</v>
      </c>
      <c r="I83" s="13">
        <v>2017</v>
      </c>
      <c r="J83" s="22">
        <v>0.61458333333333337</v>
      </c>
      <c r="K83" s="13" t="s">
        <v>213</v>
      </c>
      <c r="L83" s="16" t="s">
        <v>214</v>
      </c>
      <c r="M83" s="16" t="s">
        <v>215</v>
      </c>
      <c r="O83" s="13" t="s">
        <v>77</v>
      </c>
      <c r="P83" s="13" t="s">
        <v>198</v>
      </c>
      <c r="Q83" s="17">
        <v>3</v>
      </c>
      <c r="R83" s="13" t="s">
        <v>199</v>
      </c>
      <c r="S83" s="17" t="s">
        <v>62</v>
      </c>
      <c r="T83" s="13" t="s">
        <v>62</v>
      </c>
      <c r="U83" s="13" t="s">
        <v>62</v>
      </c>
      <c r="V83" s="13" t="s">
        <v>62</v>
      </c>
      <c r="W83" s="13" t="s">
        <v>62</v>
      </c>
      <c r="X83" s="13" t="s">
        <v>77</v>
      </c>
      <c r="Z83" s="13">
        <v>3</v>
      </c>
      <c r="AA83" s="13">
        <v>8</v>
      </c>
      <c r="AB83" s="13">
        <v>8</v>
      </c>
      <c r="AC83" s="13">
        <v>8</v>
      </c>
      <c r="AE83" s="13">
        <v>3</v>
      </c>
      <c r="AF83" s="13">
        <v>6.5</v>
      </c>
      <c r="AG83" s="13">
        <v>6.5</v>
      </c>
      <c r="AH83" s="13">
        <v>6.5</v>
      </c>
      <c r="AI83" s="18"/>
    </row>
    <row r="84" spans="1:35" x14ac:dyDescent="0.3">
      <c r="A84" s="14" t="s">
        <v>190</v>
      </c>
      <c r="B84" s="13" t="s">
        <v>191</v>
      </c>
      <c r="C84" s="13" t="s">
        <v>192</v>
      </c>
      <c r="D84" s="13" t="s">
        <v>193</v>
      </c>
      <c r="E84" s="13" t="str">
        <f>INDEX(Sheet1!$E$23:$E$34,MATCH(A84,Sheet1!$D$23:$D$34,0))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84" s="13" t="s">
        <v>194</v>
      </c>
      <c r="H84" s="13" t="s">
        <v>37</v>
      </c>
      <c r="I84" s="13">
        <v>2017</v>
      </c>
      <c r="J84" s="22">
        <v>0.61805555555555558</v>
      </c>
      <c r="K84" s="13" t="s">
        <v>216</v>
      </c>
      <c r="L84" s="16" t="s">
        <v>217</v>
      </c>
      <c r="M84" s="16" t="s">
        <v>218</v>
      </c>
      <c r="O84" s="13" t="s">
        <v>77</v>
      </c>
      <c r="P84" s="13" t="s">
        <v>198</v>
      </c>
      <c r="Q84" s="17">
        <v>5</v>
      </c>
      <c r="R84" s="13" t="s">
        <v>199</v>
      </c>
      <c r="S84" s="17" t="s">
        <v>62</v>
      </c>
      <c r="T84" s="13" t="s">
        <v>62</v>
      </c>
      <c r="U84" s="13" t="s">
        <v>62</v>
      </c>
      <c r="V84" s="13" t="s">
        <v>62</v>
      </c>
      <c r="W84" s="13" t="s">
        <v>62</v>
      </c>
      <c r="X84" s="13" t="s">
        <v>77</v>
      </c>
      <c r="Z84" s="13">
        <v>5</v>
      </c>
      <c r="AA84" s="13">
        <v>8</v>
      </c>
      <c r="AB84" s="13">
        <v>8</v>
      </c>
      <c r="AC84" s="13">
        <v>8</v>
      </c>
      <c r="AE84" s="13">
        <v>5</v>
      </c>
      <c r="AF84" s="13">
        <v>6</v>
      </c>
      <c r="AG84" s="13">
        <v>6.5</v>
      </c>
      <c r="AH84" s="13">
        <v>6.1</v>
      </c>
      <c r="AI84" s="18"/>
    </row>
    <row r="85" spans="1:35" x14ac:dyDescent="0.3">
      <c r="A85" s="14" t="s">
        <v>190</v>
      </c>
      <c r="B85" s="13" t="s">
        <v>191</v>
      </c>
      <c r="C85" s="13" t="s">
        <v>192</v>
      </c>
      <c r="D85" s="13" t="s">
        <v>193</v>
      </c>
      <c r="E85" s="13" t="str">
        <f>INDEX(Sheet1!$E$23:$E$34,MATCH(A85,Sheet1!$D$23:$D$34,0))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85" s="13" t="s">
        <v>194</v>
      </c>
      <c r="H85" s="13" t="s">
        <v>37</v>
      </c>
      <c r="I85" s="13">
        <v>2017</v>
      </c>
      <c r="J85" s="22">
        <v>0.61805555555555558</v>
      </c>
      <c r="K85" s="13" t="s">
        <v>216</v>
      </c>
      <c r="L85" s="16" t="s">
        <v>217</v>
      </c>
      <c r="M85" s="16" t="s">
        <v>218</v>
      </c>
      <c r="O85" s="13" t="s">
        <v>75</v>
      </c>
      <c r="P85" s="13" t="s">
        <v>200</v>
      </c>
      <c r="Q85" s="17">
        <v>3</v>
      </c>
      <c r="R85" s="13" t="s">
        <v>199</v>
      </c>
      <c r="S85" s="17" t="s">
        <v>62</v>
      </c>
      <c r="T85" s="13" t="s">
        <v>62</v>
      </c>
      <c r="U85" s="13" t="s">
        <v>62</v>
      </c>
      <c r="V85" s="13" t="s">
        <v>62</v>
      </c>
      <c r="W85" s="13" t="s">
        <v>62</v>
      </c>
      <c r="X85" s="13" t="s">
        <v>75</v>
      </c>
      <c r="Z85" s="13">
        <v>3</v>
      </c>
      <c r="AA85" s="13">
        <v>9</v>
      </c>
      <c r="AB85" s="13">
        <v>12</v>
      </c>
      <c r="AC85" s="13">
        <v>10.333</v>
      </c>
      <c r="AE85" s="13">
        <v>3</v>
      </c>
      <c r="AF85" s="13">
        <v>6</v>
      </c>
      <c r="AG85" s="13">
        <v>8</v>
      </c>
      <c r="AH85" s="13">
        <v>6.6669999999999998</v>
      </c>
      <c r="AI85" s="18"/>
    </row>
    <row r="86" spans="1:35" x14ac:dyDescent="0.3">
      <c r="A86" s="14" t="s">
        <v>190</v>
      </c>
      <c r="B86" s="13" t="s">
        <v>191</v>
      </c>
      <c r="C86" s="13" t="s">
        <v>192</v>
      </c>
      <c r="D86" s="13" t="s">
        <v>193</v>
      </c>
      <c r="E86" s="13" t="str">
        <f>INDEX(Sheet1!$E$23:$E$34,MATCH(A86,Sheet1!$D$23:$D$34,0))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86" s="13" t="s">
        <v>194</v>
      </c>
      <c r="H86" s="13" t="s">
        <v>37</v>
      </c>
      <c r="I86" s="13">
        <v>2017</v>
      </c>
      <c r="J86" s="22">
        <v>0.625</v>
      </c>
      <c r="K86" s="13" t="s">
        <v>219</v>
      </c>
      <c r="L86" s="16" t="s">
        <v>220</v>
      </c>
      <c r="M86" s="16" t="s">
        <v>221</v>
      </c>
      <c r="O86" s="13" t="s">
        <v>77</v>
      </c>
      <c r="P86" s="13" t="s">
        <v>198</v>
      </c>
      <c r="Q86" s="17">
        <v>3</v>
      </c>
      <c r="R86" s="13" t="s">
        <v>199</v>
      </c>
      <c r="S86" s="17" t="s">
        <v>62</v>
      </c>
      <c r="T86" s="13" t="s">
        <v>62</v>
      </c>
      <c r="U86" s="13" t="s">
        <v>62</v>
      </c>
      <c r="V86" s="13" t="s">
        <v>62</v>
      </c>
      <c r="W86" s="13" t="s">
        <v>62</v>
      </c>
      <c r="X86" s="13" t="s">
        <v>77</v>
      </c>
      <c r="Z86" s="13">
        <v>3</v>
      </c>
      <c r="AA86" s="13">
        <v>8</v>
      </c>
      <c r="AB86" s="13">
        <v>9</v>
      </c>
      <c r="AC86" s="13">
        <v>8.3330000000000002</v>
      </c>
      <c r="AE86" s="13">
        <v>3</v>
      </c>
      <c r="AF86" s="13">
        <v>6.5</v>
      </c>
      <c r="AG86" s="13">
        <v>7</v>
      </c>
      <c r="AH86" s="13">
        <v>6.6669999999999998</v>
      </c>
      <c r="AI86" s="18"/>
    </row>
    <row r="87" spans="1:35" x14ac:dyDescent="0.3">
      <c r="A87" s="14" t="s">
        <v>190</v>
      </c>
      <c r="B87" s="13" t="s">
        <v>191</v>
      </c>
      <c r="C87" s="13" t="s">
        <v>192</v>
      </c>
      <c r="D87" s="13" t="s">
        <v>193</v>
      </c>
      <c r="E87" s="13" t="str">
        <f>INDEX(Sheet1!$E$23:$E$34,MATCH(A87,Sheet1!$D$23:$D$34,0))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87" s="13" t="s">
        <v>194</v>
      </c>
      <c r="H87" s="13" t="s">
        <v>37</v>
      </c>
      <c r="I87" s="13">
        <v>2017</v>
      </c>
      <c r="J87" s="22">
        <v>0.625</v>
      </c>
      <c r="K87" s="13" t="s">
        <v>219</v>
      </c>
      <c r="L87" s="16" t="s">
        <v>220</v>
      </c>
      <c r="M87" s="16" t="s">
        <v>221</v>
      </c>
      <c r="O87" s="13" t="s">
        <v>75</v>
      </c>
      <c r="P87" s="13" t="s">
        <v>200</v>
      </c>
      <c r="Q87" s="17">
        <v>2</v>
      </c>
      <c r="R87" s="13" t="s">
        <v>199</v>
      </c>
      <c r="S87" s="17" t="s">
        <v>62</v>
      </c>
      <c r="T87" s="13" t="s">
        <v>62</v>
      </c>
      <c r="U87" s="13" t="s">
        <v>62</v>
      </c>
      <c r="V87" s="13" t="s">
        <v>62</v>
      </c>
      <c r="W87" s="13" t="s">
        <v>62</v>
      </c>
      <c r="X87" s="13" t="s">
        <v>75</v>
      </c>
      <c r="Z87" s="13">
        <v>2</v>
      </c>
      <c r="AA87" s="13">
        <v>9</v>
      </c>
      <c r="AB87" s="13">
        <v>14</v>
      </c>
      <c r="AC87" s="13">
        <v>11.5</v>
      </c>
      <c r="AE87" s="13">
        <v>2</v>
      </c>
      <c r="AF87" s="13">
        <v>7</v>
      </c>
      <c r="AG87" s="13">
        <v>10</v>
      </c>
      <c r="AH87" s="13">
        <v>8.5</v>
      </c>
      <c r="AI87" s="18"/>
    </row>
    <row r="88" spans="1:35" x14ac:dyDescent="0.3">
      <c r="A88" s="14" t="s">
        <v>190</v>
      </c>
      <c r="B88" s="13" t="s">
        <v>191</v>
      </c>
      <c r="C88" s="13" t="s">
        <v>192</v>
      </c>
      <c r="D88" s="13" t="s">
        <v>193</v>
      </c>
      <c r="E88" s="13" t="str">
        <f>INDEX(Sheet1!$E$23:$E$34,MATCH(A88,Sheet1!$D$23:$D$34,0))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88" s="13" t="s">
        <v>194</v>
      </c>
      <c r="H88" s="13" t="s">
        <v>37</v>
      </c>
      <c r="I88" s="13">
        <v>2017</v>
      </c>
      <c r="J88" s="22">
        <v>0.63541666666666663</v>
      </c>
      <c r="K88" s="13" t="s">
        <v>222</v>
      </c>
      <c r="L88" s="16" t="s">
        <v>223</v>
      </c>
      <c r="M88" s="16" t="s">
        <v>224</v>
      </c>
      <c r="O88" s="13" t="s">
        <v>77</v>
      </c>
      <c r="P88" s="13" t="s">
        <v>198</v>
      </c>
      <c r="Q88" s="17">
        <v>4</v>
      </c>
      <c r="R88" s="13" t="s">
        <v>199</v>
      </c>
      <c r="S88" s="17" t="s">
        <v>62</v>
      </c>
      <c r="T88" s="13" t="s">
        <v>62</v>
      </c>
      <c r="U88" s="13" t="s">
        <v>62</v>
      </c>
      <c r="V88" s="13" t="s">
        <v>62</v>
      </c>
      <c r="W88" s="13" t="s">
        <v>62</v>
      </c>
      <c r="X88" s="13" t="s">
        <v>77</v>
      </c>
      <c r="Z88" s="13">
        <v>4</v>
      </c>
      <c r="AA88" s="13">
        <v>8</v>
      </c>
      <c r="AB88" s="13">
        <v>9</v>
      </c>
      <c r="AC88" s="13">
        <v>8.25</v>
      </c>
      <c r="AE88" s="13">
        <v>4</v>
      </c>
      <c r="AF88" s="13">
        <v>6</v>
      </c>
      <c r="AG88" s="13">
        <v>7</v>
      </c>
      <c r="AH88" s="13">
        <v>6.5</v>
      </c>
      <c r="AI88" s="18"/>
    </row>
    <row r="89" spans="1:35" x14ac:dyDescent="0.3">
      <c r="A89" s="14" t="s">
        <v>190</v>
      </c>
      <c r="B89" s="13" t="s">
        <v>191</v>
      </c>
      <c r="C89" s="13" t="s">
        <v>192</v>
      </c>
      <c r="D89" s="13" t="s">
        <v>193</v>
      </c>
      <c r="E89" s="13" t="str">
        <f>INDEX(Sheet1!$E$23:$E$34,MATCH(A89,Sheet1!$D$23:$D$34,0))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89" s="13" t="s">
        <v>194</v>
      </c>
      <c r="H89" s="13" t="s">
        <v>37</v>
      </c>
      <c r="I89" s="13">
        <v>2017</v>
      </c>
      <c r="J89" s="22">
        <v>0.63541666666666663</v>
      </c>
      <c r="K89" s="13" t="s">
        <v>222</v>
      </c>
      <c r="L89" s="16" t="s">
        <v>223</v>
      </c>
      <c r="M89" s="16" t="s">
        <v>224</v>
      </c>
      <c r="O89" s="13" t="s">
        <v>75</v>
      </c>
      <c r="P89" s="13" t="s">
        <v>200</v>
      </c>
      <c r="Q89" s="17">
        <v>1</v>
      </c>
      <c r="R89" s="13" t="s">
        <v>199</v>
      </c>
      <c r="S89" s="17" t="s">
        <v>62</v>
      </c>
      <c r="T89" s="13" t="s">
        <v>62</v>
      </c>
      <c r="U89" s="13" t="s">
        <v>62</v>
      </c>
      <c r="V89" s="13" t="s">
        <v>62</v>
      </c>
      <c r="W89" s="13" t="s">
        <v>62</v>
      </c>
      <c r="X89" s="13" t="s">
        <v>75</v>
      </c>
      <c r="Z89" s="13">
        <v>1</v>
      </c>
      <c r="AA89" s="13">
        <v>10</v>
      </c>
      <c r="AB89" s="13">
        <v>14</v>
      </c>
      <c r="AC89" s="13">
        <v>12</v>
      </c>
      <c r="AE89" s="13">
        <v>1</v>
      </c>
      <c r="AG89" s="13">
        <v>10</v>
      </c>
      <c r="AH89" s="13">
        <v>10</v>
      </c>
      <c r="AI89" s="18"/>
    </row>
    <row r="90" spans="1:35" x14ac:dyDescent="0.3">
      <c r="A90" s="14" t="s">
        <v>190</v>
      </c>
      <c r="B90" s="13" t="s">
        <v>191</v>
      </c>
      <c r="C90" s="13" t="s">
        <v>192</v>
      </c>
      <c r="D90" s="13" t="s">
        <v>193</v>
      </c>
      <c r="E90" s="13" t="str">
        <f>INDEX(Sheet1!$E$23:$E$34,MATCH(A90,Sheet1!$D$23:$D$34,0))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90" s="13" t="s">
        <v>194</v>
      </c>
      <c r="H90" s="13" t="s">
        <v>137</v>
      </c>
      <c r="I90" s="13">
        <v>2017</v>
      </c>
      <c r="J90" s="22">
        <v>0.65277777777777779</v>
      </c>
      <c r="K90" s="13" t="s">
        <v>195</v>
      </c>
      <c r="L90" s="16" t="s">
        <v>196</v>
      </c>
      <c r="M90" s="16" t="s">
        <v>197</v>
      </c>
      <c r="O90" s="13" t="s">
        <v>75</v>
      </c>
      <c r="P90" s="13" t="s">
        <v>200</v>
      </c>
      <c r="Q90" s="17">
        <v>2</v>
      </c>
      <c r="R90" s="13" t="s">
        <v>199</v>
      </c>
      <c r="S90" s="17" t="s">
        <v>62</v>
      </c>
      <c r="T90" s="13" t="s">
        <v>62</v>
      </c>
      <c r="U90" s="13" t="s">
        <v>62</v>
      </c>
      <c r="V90" s="13" t="s">
        <v>62</v>
      </c>
      <c r="W90" s="13" t="s">
        <v>62</v>
      </c>
      <c r="X90" s="13" t="s">
        <v>75</v>
      </c>
      <c r="Y90" s="13" t="s">
        <v>200</v>
      </c>
      <c r="Z90" s="13">
        <v>2</v>
      </c>
      <c r="AA90" s="13">
        <v>10</v>
      </c>
      <c r="AB90" s="13">
        <v>12</v>
      </c>
      <c r="AC90" s="13">
        <v>11</v>
      </c>
      <c r="AE90" s="13">
        <v>2</v>
      </c>
      <c r="AF90" s="13">
        <v>7</v>
      </c>
      <c r="AG90" s="13">
        <v>8</v>
      </c>
      <c r="AH90" s="13">
        <v>7.5</v>
      </c>
      <c r="AI90" s="18"/>
    </row>
    <row r="91" spans="1:35" x14ac:dyDescent="0.3">
      <c r="A91" s="14" t="s">
        <v>190</v>
      </c>
      <c r="B91" s="13" t="s">
        <v>191</v>
      </c>
      <c r="C91" s="13" t="s">
        <v>192</v>
      </c>
      <c r="D91" s="13" t="s">
        <v>193</v>
      </c>
      <c r="E91" s="13" t="str">
        <f>INDEX(Sheet1!$E$23:$E$34,MATCH(A91,Sheet1!$D$23:$D$34,0))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91" s="13" t="s">
        <v>194</v>
      </c>
      <c r="H91" s="13" t="s">
        <v>137</v>
      </c>
      <c r="I91" s="13">
        <v>2017</v>
      </c>
      <c r="J91" s="22">
        <v>0.65277777777777779</v>
      </c>
      <c r="K91" s="13" t="s">
        <v>195</v>
      </c>
      <c r="L91" s="16" t="s">
        <v>196</v>
      </c>
      <c r="M91" s="16" t="s">
        <v>197</v>
      </c>
      <c r="O91" s="13" t="s">
        <v>128</v>
      </c>
      <c r="P91" s="13" t="s">
        <v>198</v>
      </c>
      <c r="Q91" s="17">
        <v>1</v>
      </c>
      <c r="R91" s="13" t="s">
        <v>199</v>
      </c>
      <c r="S91" s="17" t="s">
        <v>62</v>
      </c>
      <c r="T91" s="13" t="s">
        <v>62</v>
      </c>
      <c r="U91" s="13" t="s">
        <v>62</v>
      </c>
      <c r="V91" s="13" t="s">
        <v>62</v>
      </c>
      <c r="W91" s="13" t="s">
        <v>62</v>
      </c>
      <c r="X91" s="13" t="s">
        <v>128</v>
      </c>
      <c r="Y91" s="13" t="s">
        <v>198</v>
      </c>
      <c r="Z91" s="13">
        <v>1</v>
      </c>
      <c r="AB91" s="13">
        <v>8</v>
      </c>
      <c r="AC91" s="13">
        <v>8</v>
      </c>
      <c r="AE91" s="13">
        <v>1</v>
      </c>
      <c r="AG91" s="13">
        <v>7</v>
      </c>
      <c r="AH91" s="13">
        <v>7</v>
      </c>
      <c r="AI91" s="18"/>
    </row>
    <row r="92" spans="1:35" x14ac:dyDescent="0.3">
      <c r="A92" s="14" t="s">
        <v>190</v>
      </c>
      <c r="B92" s="13" t="s">
        <v>191</v>
      </c>
      <c r="C92" s="13" t="s">
        <v>192</v>
      </c>
      <c r="D92" s="13" t="s">
        <v>193</v>
      </c>
      <c r="E92" s="13" t="str">
        <f>INDEX(Sheet1!$E$23:$E$34,MATCH(A92,Sheet1!$D$23:$D$34,0))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92" s="13" t="s">
        <v>194</v>
      </c>
      <c r="H92" s="13" t="s">
        <v>137</v>
      </c>
      <c r="I92" s="13">
        <v>2017</v>
      </c>
      <c r="J92" s="22">
        <v>0.64236111111111105</v>
      </c>
      <c r="K92" s="13" t="s">
        <v>201</v>
      </c>
      <c r="L92" s="16" t="s">
        <v>202</v>
      </c>
      <c r="M92" s="16" t="s">
        <v>203</v>
      </c>
      <c r="O92" s="13" t="s">
        <v>128</v>
      </c>
      <c r="P92" s="13" t="s">
        <v>198</v>
      </c>
      <c r="Q92" s="17">
        <v>7</v>
      </c>
      <c r="R92" s="13" t="s">
        <v>199</v>
      </c>
      <c r="S92" s="17" t="s">
        <v>62</v>
      </c>
      <c r="T92" s="13" t="s">
        <v>62</v>
      </c>
      <c r="U92" s="13" t="s">
        <v>62</v>
      </c>
      <c r="V92" s="13" t="s">
        <v>62</v>
      </c>
      <c r="W92" s="13" t="s">
        <v>62</v>
      </c>
      <c r="X92" s="13" t="s">
        <v>128</v>
      </c>
      <c r="Y92" s="13" t="s">
        <v>198</v>
      </c>
      <c r="Z92" s="13">
        <v>7</v>
      </c>
      <c r="AA92" s="13">
        <v>7</v>
      </c>
      <c r="AB92" s="13">
        <v>9</v>
      </c>
      <c r="AC92" s="13">
        <v>8.1430000000000007</v>
      </c>
      <c r="AE92" s="13">
        <v>7</v>
      </c>
      <c r="AF92" s="13">
        <v>5.5</v>
      </c>
      <c r="AG92" s="13">
        <v>8</v>
      </c>
      <c r="AH92" s="13">
        <v>7.4290000000000003</v>
      </c>
      <c r="AI92" s="18"/>
    </row>
    <row r="93" spans="1:35" x14ac:dyDescent="0.3">
      <c r="A93" s="14" t="s">
        <v>190</v>
      </c>
      <c r="B93" s="13" t="s">
        <v>191</v>
      </c>
      <c r="C93" s="13" t="s">
        <v>192</v>
      </c>
      <c r="D93" s="13" t="s">
        <v>193</v>
      </c>
      <c r="E93" s="13" t="str">
        <f>INDEX(Sheet1!$E$23:$E$34,MATCH(A93,Sheet1!$D$23:$D$34,0))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93" s="13" t="s">
        <v>194</v>
      </c>
      <c r="H93" s="13" t="s">
        <v>137</v>
      </c>
      <c r="I93" s="13">
        <v>2017</v>
      </c>
      <c r="J93" s="22">
        <v>0.65277777777777779</v>
      </c>
      <c r="K93" s="13" t="s">
        <v>204</v>
      </c>
      <c r="L93" s="16" t="s">
        <v>205</v>
      </c>
      <c r="M93" s="16" t="s">
        <v>206</v>
      </c>
      <c r="O93" s="13" t="s">
        <v>75</v>
      </c>
      <c r="P93" s="13" t="s">
        <v>200</v>
      </c>
      <c r="Q93" s="17">
        <v>1</v>
      </c>
      <c r="R93" s="13" t="s">
        <v>199</v>
      </c>
      <c r="S93" s="17" t="s">
        <v>62</v>
      </c>
      <c r="T93" s="13" t="s">
        <v>62</v>
      </c>
      <c r="U93" s="13" t="s">
        <v>62</v>
      </c>
      <c r="V93" s="13" t="s">
        <v>62</v>
      </c>
      <c r="W93" s="13" t="s">
        <v>62</v>
      </c>
      <c r="X93" s="13" t="s">
        <v>75</v>
      </c>
      <c r="Y93" s="13" t="s">
        <v>200</v>
      </c>
      <c r="Z93" s="13">
        <v>1</v>
      </c>
      <c r="AB93" s="13">
        <v>11</v>
      </c>
      <c r="AC93" s="13">
        <v>11</v>
      </c>
      <c r="AE93" s="13">
        <v>1</v>
      </c>
      <c r="AG93" s="13">
        <v>8</v>
      </c>
      <c r="AH93" s="13">
        <v>8</v>
      </c>
      <c r="AI93" s="18"/>
    </row>
    <row r="94" spans="1:35" x14ac:dyDescent="0.3">
      <c r="A94" s="14" t="s">
        <v>190</v>
      </c>
      <c r="B94" s="13" t="s">
        <v>191</v>
      </c>
      <c r="C94" s="13" t="s">
        <v>192</v>
      </c>
      <c r="D94" s="13" t="s">
        <v>193</v>
      </c>
      <c r="E94" s="13" t="str">
        <f>INDEX(Sheet1!$E$23:$E$34,MATCH(A94,Sheet1!$D$23:$D$34,0))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94" s="13" t="s">
        <v>194</v>
      </c>
      <c r="H94" s="13" t="s">
        <v>137</v>
      </c>
      <c r="I94" s="13">
        <v>2017</v>
      </c>
      <c r="J94" s="22">
        <v>0.65277777777777779</v>
      </c>
      <c r="K94" s="13" t="s">
        <v>204</v>
      </c>
      <c r="L94" s="16" t="s">
        <v>205</v>
      </c>
      <c r="M94" s="16" t="s">
        <v>206</v>
      </c>
      <c r="O94" s="13" t="s">
        <v>128</v>
      </c>
      <c r="P94" s="13" t="s">
        <v>198</v>
      </c>
      <c r="Q94" s="17">
        <v>7</v>
      </c>
      <c r="R94" s="13" t="s">
        <v>199</v>
      </c>
      <c r="S94" s="17" t="s">
        <v>62</v>
      </c>
      <c r="T94" s="13" t="s">
        <v>62</v>
      </c>
      <c r="U94" s="13" t="s">
        <v>62</v>
      </c>
      <c r="V94" s="13" t="s">
        <v>62</v>
      </c>
      <c r="W94" s="13" t="s">
        <v>62</v>
      </c>
      <c r="X94" s="13" t="s">
        <v>128</v>
      </c>
      <c r="Y94" s="13" t="s">
        <v>198</v>
      </c>
      <c r="Z94" s="13">
        <v>7</v>
      </c>
      <c r="AA94" s="13">
        <v>8</v>
      </c>
      <c r="AB94" s="13">
        <v>9</v>
      </c>
      <c r="AC94" s="13">
        <v>8.7140000000000004</v>
      </c>
      <c r="AE94" s="13">
        <v>7</v>
      </c>
      <c r="AF94" s="13">
        <v>6</v>
      </c>
      <c r="AG94" s="13">
        <v>8</v>
      </c>
      <c r="AH94" s="13">
        <v>7</v>
      </c>
      <c r="AI94" s="18"/>
    </row>
    <row r="95" spans="1:35" x14ac:dyDescent="0.3">
      <c r="A95" s="14" t="s">
        <v>190</v>
      </c>
      <c r="B95" s="13" t="s">
        <v>191</v>
      </c>
      <c r="C95" s="13" t="s">
        <v>192</v>
      </c>
      <c r="D95" s="13" t="s">
        <v>193</v>
      </c>
      <c r="E95" s="13" t="str">
        <f>INDEX(Sheet1!$E$23:$E$34,MATCH(A95,Sheet1!$D$23:$D$34,0))</f>
        <v>Juan Cárcamo Barría (2017) Informe de resutados de pesca de investigación asociado al permiso SUBPESCA, R. EX N°411-2017. Proyecto: Caracterización de fauna íctica asociada al proyecto, piscicultura San Joaquín, sector El Varal, comuna de Hualaihué, X región de Los Lagos. Mandante: Cultivos Marinos Lago Yelcho S.P.A.</v>
      </c>
      <c r="G95" s="13" t="s">
        <v>194</v>
      </c>
      <c r="H95" s="13" t="s">
        <v>137</v>
      </c>
      <c r="I95" s="13">
        <v>2017</v>
      </c>
      <c r="J95" s="22">
        <v>0.55208333333333337</v>
      </c>
      <c r="K95" s="13" t="s">
        <v>222</v>
      </c>
      <c r="L95" s="16" t="s">
        <v>223</v>
      </c>
      <c r="M95" s="16" t="s">
        <v>224</v>
      </c>
      <c r="O95" s="13" t="s">
        <v>128</v>
      </c>
      <c r="P95" s="13" t="s">
        <v>198</v>
      </c>
      <c r="Q95" s="17">
        <v>5</v>
      </c>
      <c r="R95" s="13" t="s">
        <v>199</v>
      </c>
      <c r="S95" s="17" t="s">
        <v>62</v>
      </c>
      <c r="T95" s="13" t="s">
        <v>62</v>
      </c>
      <c r="U95" s="13" t="s">
        <v>62</v>
      </c>
      <c r="V95" s="13" t="s">
        <v>62</v>
      </c>
      <c r="W95" s="13" t="s">
        <v>62</v>
      </c>
      <c r="X95" s="13" t="s">
        <v>128</v>
      </c>
      <c r="Y95" s="13" t="s">
        <v>198</v>
      </c>
      <c r="Z95" s="13">
        <v>5</v>
      </c>
      <c r="AA95" s="13">
        <v>7</v>
      </c>
      <c r="AB95" s="13">
        <v>9</v>
      </c>
      <c r="AC95" s="13">
        <v>7.8</v>
      </c>
      <c r="AE95" s="13">
        <v>5</v>
      </c>
      <c r="AF95" s="13">
        <v>6</v>
      </c>
      <c r="AG95" s="13">
        <v>9</v>
      </c>
      <c r="AH95" s="13">
        <v>6.2</v>
      </c>
      <c r="AI95" s="18"/>
    </row>
    <row r="96" spans="1:35" x14ac:dyDescent="0.3">
      <c r="A96" s="14" t="s">
        <v>225</v>
      </c>
      <c r="B96" s="13" t="s">
        <v>226</v>
      </c>
      <c r="C96" s="13" t="s">
        <v>227</v>
      </c>
      <c r="D96" s="13" t="s">
        <v>228</v>
      </c>
      <c r="E96" s="13" t="str">
        <f>INDEX(Sheet1!$E$23:$E$34,MATCH(A96,Sheet1!$D$23:$D$34,0))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96" s="13" t="s">
        <v>229</v>
      </c>
      <c r="H96" s="13" t="s">
        <v>230</v>
      </c>
      <c r="I96" s="13">
        <v>2021</v>
      </c>
      <c r="J96" s="19" t="s">
        <v>62</v>
      </c>
      <c r="K96" s="13" t="s">
        <v>231</v>
      </c>
      <c r="L96" s="16">
        <v>663004</v>
      </c>
      <c r="M96" s="16">
        <v>5006228</v>
      </c>
      <c r="O96" s="13" t="s">
        <v>115</v>
      </c>
      <c r="P96" s="13" t="s">
        <v>78</v>
      </c>
      <c r="R96" s="13" t="s">
        <v>232</v>
      </c>
      <c r="AI96" s="18"/>
    </row>
    <row r="97" spans="1:35" x14ac:dyDescent="0.3">
      <c r="A97" s="14" t="s">
        <v>225</v>
      </c>
      <c r="B97" s="13" t="s">
        <v>226</v>
      </c>
      <c r="C97" s="13" t="s">
        <v>227</v>
      </c>
      <c r="D97" s="13" t="s">
        <v>228</v>
      </c>
      <c r="E97" s="13" t="str">
        <f>INDEX(Sheet1!$E$23:$E$34,MATCH(A97,Sheet1!$D$23:$D$34,0))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97" s="13" t="s">
        <v>229</v>
      </c>
      <c r="H97" s="13" t="s">
        <v>230</v>
      </c>
      <c r="I97" s="13">
        <v>2021</v>
      </c>
      <c r="J97" s="19" t="s">
        <v>62</v>
      </c>
      <c r="K97" s="13" t="s">
        <v>233</v>
      </c>
      <c r="L97" s="16">
        <v>661478</v>
      </c>
      <c r="M97" s="16">
        <v>5004801</v>
      </c>
      <c r="O97" s="13" t="s">
        <v>115</v>
      </c>
      <c r="P97" s="13" t="s">
        <v>78</v>
      </c>
      <c r="R97" s="13" t="s">
        <v>232</v>
      </c>
      <c r="AI97" s="18"/>
    </row>
    <row r="98" spans="1:35" x14ac:dyDescent="0.3">
      <c r="A98" s="14" t="s">
        <v>225</v>
      </c>
      <c r="B98" s="13" t="s">
        <v>226</v>
      </c>
      <c r="C98" s="13" t="s">
        <v>227</v>
      </c>
      <c r="D98" s="13" t="s">
        <v>228</v>
      </c>
      <c r="E98" s="13" t="str">
        <f>INDEX(Sheet1!$E$23:$E$34,MATCH(A98,Sheet1!$D$23:$D$34,0))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98" s="13" t="s">
        <v>229</v>
      </c>
      <c r="H98" s="13" t="s">
        <v>230</v>
      </c>
      <c r="I98" s="13">
        <v>2021</v>
      </c>
      <c r="J98" s="19" t="s">
        <v>62</v>
      </c>
      <c r="K98" s="13" t="s">
        <v>234</v>
      </c>
      <c r="L98" s="16">
        <v>659652</v>
      </c>
      <c r="M98" s="16">
        <v>5002057</v>
      </c>
      <c r="O98" s="13" t="s">
        <v>115</v>
      </c>
      <c r="P98" s="13" t="s">
        <v>78</v>
      </c>
      <c r="R98" s="13" t="s">
        <v>232</v>
      </c>
      <c r="AI98" s="18"/>
    </row>
    <row r="99" spans="1:35" x14ac:dyDescent="0.3">
      <c r="A99" s="14" t="s">
        <v>225</v>
      </c>
      <c r="B99" s="13" t="s">
        <v>226</v>
      </c>
      <c r="C99" s="13" t="s">
        <v>227</v>
      </c>
      <c r="D99" s="13" t="s">
        <v>228</v>
      </c>
      <c r="E99" s="13" t="str">
        <f>INDEX(Sheet1!$E$23:$E$34,MATCH(A99,Sheet1!$D$23:$D$34,0))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99" s="13" t="s">
        <v>229</v>
      </c>
      <c r="H99" s="13" t="s">
        <v>230</v>
      </c>
      <c r="I99" s="13">
        <v>2021</v>
      </c>
      <c r="J99" s="19" t="s">
        <v>62</v>
      </c>
      <c r="K99" s="13" t="s">
        <v>235</v>
      </c>
      <c r="L99" s="16">
        <v>659966</v>
      </c>
      <c r="M99" s="16">
        <v>5000844</v>
      </c>
      <c r="O99" s="13" t="s">
        <v>115</v>
      </c>
      <c r="P99" s="13" t="s">
        <v>78</v>
      </c>
      <c r="R99" s="13" t="s">
        <v>232</v>
      </c>
      <c r="AI99" s="18"/>
    </row>
    <row r="100" spans="1:35" x14ac:dyDescent="0.3">
      <c r="A100" s="14" t="s">
        <v>225</v>
      </c>
      <c r="B100" s="13" t="s">
        <v>226</v>
      </c>
      <c r="C100" s="13" t="s">
        <v>227</v>
      </c>
      <c r="D100" s="13" t="s">
        <v>228</v>
      </c>
      <c r="E100" s="13" t="str">
        <f>INDEX(Sheet1!$E$23:$E$34,MATCH(A100,Sheet1!$D$23:$D$34,0))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00" s="13" t="s">
        <v>229</v>
      </c>
      <c r="H100" s="13" t="s">
        <v>230</v>
      </c>
      <c r="I100" s="13">
        <v>2021</v>
      </c>
      <c r="J100" s="19" t="s">
        <v>62</v>
      </c>
      <c r="K100" s="13" t="s">
        <v>236</v>
      </c>
      <c r="L100" s="16">
        <v>659464</v>
      </c>
      <c r="M100" s="16">
        <v>5000134</v>
      </c>
      <c r="O100" s="13" t="s">
        <v>115</v>
      </c>
      <c r="P100" s="13" t="s">
        <v>78</v>
      </c>
      <c r="R100" s="13" t="s">
        <v>232</v>
      </c>
      <c r="AI100" s="18"/>
    </row>
    <row r="101" spans="1:35" x14ac:dyDescent="0.3">
      <c r="A101" s="14" t="s">
        <v>225</v>
      </c>
      <c r="B101" s="13" t="s">
        <v>226</v>
      </c>
      <c r="C101" s="13" t="s">
        <v>227</v>
      </c>
      <c r="D101" s="13" t="s">
        <v>228</v>
      </c>
      <c r="E101" s="13" t="str">
        <f>INDEX(Sheet1!$E$23:$E$34,MATCH(A101,Sheet1!$D$23:$D$34,0))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01" s="13" t="s">
        <v>229</v>
      </c>
      <c r="H101" s="13" t="s">
        <v>230</v>
      </c>
      <c r="I101" s="13">
        <v>2021</v>
      </c>
      <c r="J101" s="19" t="s">
        <v>62</v>
      </c>
      <c r="K101" s="13" t="s">
        <v>237</v>
      </c>
      <c r="L101" s="16">
        <v>660279</v>
      </c>
      <c r="M101" s="16">
        <v>5003060</v>
      </c>
      <c r="O101" s="13" t="s">
        <v>115</v>
      </c>
      <c r="P101" s="13" t="s">
        <v>78</v>
      </c>
      <c r="R101" s="13" t="s">
        <v>232</v>
      </c>
      <c r="AI101" s="18"/>
    </row>
    <row r="102" spans="1:35" x14ac:dyDescent="0.3">
      <c r="A102" s="14" t="s">
        <v>225</v>
      </c>
      <c r="B102" s="13" t="s">
        <v>226</v>
      </c>
      <c r="C102" s="13" t="s">
        <v>227</v>
      </c>
      <c r="D102" s="13" t="s">
        <v>228</v>
      </c>
      <c r="E102" s="13" t="str">
        <f>INDEX(Sheet1!$E$23:$E$34,MATCH(A102,Sheet1!$D$23:$D$34,0))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02" s="13" t="s">
        <v>229</v>
      </c>
      <c r="H102" s="13" t="s">
        <v>230</v>
      </c>
      <c r="I102" s="13">
        <v>2021</v>
      </c>
      <c r="J102" s="19" t="s">
        <v>62</v>
      </c>
      <c r="K102" s="13" t="s">
        <v>238</v>
      </c>
      <c r="L102" s="16">
        <v>659966</v>
      </c>
      <c r="M102" s="16">
        <v>5000844</v>
      </c>
      <c r="O102" s="13" t="s">
        <v>115</v>
      </c>
      <c r="P102" s="13" t="s">
        <v>78</v>
      </c>
      <c r="R102" s="13" t="s">
        <v>232</v>
      </c>
      <c r="AI102" s="18"/>
    </row>
    <row r="103" spans="1:35" x14ac:dyDescent="0.3">
      <c r="A103" s="14" t="s">
        <v>225</v>
      </c>
      <c r="B103" s="13" t="s">
        <v>226</v>
      </c>
      <c r="C103" s="13" t="s">
        <v>227</v>
      </c>
      <c r="D103" s="13" t="s">
        <v>228</v>
      </c>
      <c r="E103" s="13" t="str">
        <f>INDEX(Sheet1!$E$23:$E$34,MATCH(A103,Sheet1!$D$23:$D$34,0))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03" s="13" t="s">
        <v>229</v>
      </c>
      <c r="H103" s="13" t="s">
        <v>230</v>
      </c>
      <c r="I103" s="13">
        <v>2021</v>
      </c>
      <c r="J103" s="19" t="s">
        <v>62</v>
      </c>
      <c r="K103" s="13" t="s">
        <v>239</v>
      </c>
      <c r="L103" s="16">
        <v>659641</v>
      </c>
      <c r="M103" s="16">
        <v>5000316</v>
      </c>
      <c r="O103" s="13" t="s">
        <v>115</v>
      </c>
      <c r="P103" s="13" t="s">
        <v>78</v>
      </c>
      <c r="R103" s="13" t="s">
        <v>232</v>
      </c>
      <c r="AI103" s="18"/>
    </row>
    <row r="104" spans="1:35" x14ac:dyDescent="0.3">
      <c r="A104" s="14" t="s">
        <v>225</v>
      </c>
      <c r="B104" s="13" t="s">
        <v>226</v>
      </c>
      <c r="C104" s="13" t="s">
        <v>227</v>
      </c>
      <c r="D104" s="13" t="s">
        <v>228</v>
      </c>
      <c r="E104" s="13" t="str">
        <f>INDEX(Sheet1!$E$23:$E$34,MATCH(A104,Sheet1!$D$23:$D$34,0))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04" s="13" t="s">
        <v>229</v>
      </c>
      <c r="H104" s="13" t="s">
        <v>230</v>
      </c>
      <c r="I104" s="13">
        <v>2021</v>
      </c>
      <c r="J104" s="19" t="s">
        <v>62</v>
      </c>
      <c r="K104" s="13" t="s">
        <v>240</v>
      </c>
      <c r="L104" s="16">
        <v>659609</v>
      </c>
      <c r="M104" s="16">
        <v>4999666</v>
      </c>
      <c r="O104" s="13" t="s">
        <v>115</v>
      </c>
      <c r="P104" s="13" t="s">
        <v>78</v>
      </c>
      <c r="R104" s="13" t="s">
        <v>232</v>
      </c>
      <c r="AI104" s="18"/>
    </row>
    <row r="105" spans="1:35" x14ac:dyDescent="0.3">
      <c r="A105" s="14" t="s">
        <v>225</v>
      </c>
      <c r="B105" s="13" t="s">
        <v>226</v>
      </c>
      <c r="C105" s="13" t="s">
        <v>227</v>
      </c>
      <c r="D105" s="13" t="s">
        <v>228</v>
      </c>
      <c r="E105" s="13" t="str">
        <f>INDEX(Sheet1!$E$23:$E$34,MATCH(A105,Sheet1!$D$23:$D$34,0))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05" s="13" t="s">
        <v>229</v>
      </c>
      <c r="H105" s="13" t="s">
        <v>230</v>
      </c>
      <c r="I105" s="13">
        <v>2021</v>
      </c>
      <c r="J105" s="19" t="s">
        <v>62</v>
      </c>
      <c r="K105" s="13" t="s">
        <v>241</v>
      </c>
      <c r="L105" s="16">
        <v>664818</v>
      </c>
      <c r="M105" s="16">
        <v>4999917</v>
      </c>
      <c r="O105" s="13" t="s">
        <v>115</v>
      </c>
      <c r="P105" s="13" t="s">
        <v>78</v>
      </c>
      <c r="R105" s="13" t="s">
        <v>232</v>
      </c>
      <c r="AI105" s="18"/>
    </row>
    <row r="106" spans="1:35" x14ac:dyDescent="0.3">
      <c r="A106" s="14" t="s">
        <v>225</v>
      </c>
      <c r="B106" s="13" t="s">
        <v>226</v>
      </c>
      <c r="C106" s="13" t="s">
        <v>227</v>
      </c>
      <c r="D106" s="13" t="s">
        <v>228</v>
      </c>
      <c r="E106" s="13" t="str">
        <f>INDEX(Sheet1!$E$23:$E$34,MATCH(A106,Sheet1!$D$23:$D$34,0))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06" s="13" t="s">
        <v>229</v>
      </c>
      <c r="H106" s="13" t="s">
        <v>230</v>
      </c>
      <c r="I106" s="13">
        <v>2021</v>
      </c>
      <c r="J106" s="19" t="s">
        <v>62</v>
      </c>
      <c r="K106" s="13" t="s">
        <v>242</v>
      </c>
      <c r="L106" s="16">
        <v>664490</v>
      </c>
      <c r="M106" s="16">
        <v>4998584</v>
      </c>
      <c r="O106" s="13" t="s">
        <v>115</v>
      </c>
      <c r="P106" s="13" t="s">
        <v>78</v>
      </c>
      <c r="R106" s="13" t="s">
        <v>232</v>
      </c>
      <c r="AI106" s="18"/>
    </row>
    <row r="107" spans="1:35" x14ac:dyDescent="0.3">
      <c r="A107" s="14" t="s">
        <v>225</v>
      </c>
      <c r="B107" s="13" t="s">
        <v>226</v>
      </c>
      <c r="C107" s="13" t="s">
        <v>227</v>
      </c>
      <c r="D107" s="13" t="s">
        <v>228</v>
      </c>
      <c r="E107" s="13" t="str">
        <f>INDEX(Sheet1!$E$23:$E$34,MATCH(A107,Sheet1!$D$23:$D$34,0))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07" s="13" t="s">
        <v>229</v>
      </c>
      <c r="H107" s="13" t="s">
        <v>230</v>
      </c>
      <c r="I107" s="13">
        <v>2021</v>
      </c>
      <c r="J107" s="19" t="s">
        <v>62</v>
      </c>
      <c r="K107" s="13" t="s">
        <v>243</v>
      </c>
      <c r="L107" s="16">
        <v>660574</v>
      </c>
      <c r="M107" s="16">
        <v>5000239</v>
      </c>
      <c r="O107" s="13" t="s">
        <v>115</v>
      </c>
      <c r="P107" s="13" t="s">
        <v>78</v>
      </c>
      <c r="R107" s="13" t="s">
        <v>232</v>
      </c>
      <c r="AI107" s="18"/>
    </row>
    <row r="108" spans="1:35" x14ac:dyDescent="0.3">
      <c r="A108" s="14" t="s">
        <v>225</v>
      </c>
      <c r="B108" s="13" t="s">
        <v>226</v>
      </c>
      <c r="C108" s="13" t="s">
        <v>227</v>
      </c>
      <c r="D108" s="13" t="s">
        <v>228</v>
      </c>
      <c r="E108" s="13" t="str">
        <f>INDEX(Sheet1!$E$23:$E$34,MATCH(A108,Sheet1!$D$23:$D$34,0))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08" s="13" t="s">
        <v>229</v>
      </c>
      <c r="H108" s="13" t="s">
        <v>230</v>
      </c>
      <c r="I108" s="13">
        <v>2021</v>
      </c>
      <c r="J108" s="19" t="s">
        <v>62</v>
      </c>
      <c r="K108" s="13" t="s">
        <v>244</v>
      </c>
      <c r="L108" s="16">
        <v>659790</v>
      </c>
      <c r="M108" s="16">
        <v>4999784</v>
      </c>
      <c r="O108" s="13" t="s">
        <v>115</v>
      </c>
      <c r="P108" s="13" t="s">
        <v>78</v>
      </c>
      <c r="R108" s="13" t="s">
        <v>232</v>
      </c>
      <c r="AI108" s="18"/>
    </row>
    <row r="109" spans="1:35" x14ac:dyDescent="0.3">
      <c r="A109" s="14" t="s">
        <v>225</v>
      </c>
      <c r="B109" s="13" t="s">
        <v>226</v>
      </c>
      <c r="C109" s="13" t="s">
        <v>227</v>
      </c>
      <c r="D109" s="13" t="s">
        <v>228</v>
      </c>
      <c r="E109" s="13" t="str">
        <f>INDEX(Sheet1!$E$23:$E$34,MATCH(A109,Sheet1!$D$23:$D$34,0))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09" s="13" t="s">
        <v>229</v>
      </c>
      <c r="H109" s="13" t="s">
        <v>230</v>
      </c>
      <c r="I109" s="13">
        <v>2021</v>
      </c>
      <c r="J109" s="19" t="s">
        <v>62</v>
      </c>
      <c r="K109" s="13" t="s">
        <v>245</v>
      </c>
      <c r="L109" s="16">
        <v>659636</v>
      </c>
      <c r="M109" s="16">
        <v>4996528</v>
      </c>
      <c r="O109" s="13" t="s">
        <v>115</v>
      </c>
      <c r="P109" s="13" t="s">
        <v>78</v>
      </c>
      <c r="R109" s="13" t="s">
        <v>232</v>
      </c>
      <c r="AI109" s="18"/>
    </row>
    <row r="110" spans="1:35" x14ac:dyDescent="0.3">
      <c r="A110" s="14" t="s">
        <v>225</v>
      </c>
      <c r="B110" s="13" t="s">
        <v>226</v>
      </c>
      <c r="C110" s="13" t="s">
        <v>227</v>
      </c>
      <c r="D110" s="13" t="s">
        <v>228</v>
      </c>
      <c r="E110" s="13" t="str">
        <f>INDEX(Sheet1!$E$23:$E$34,MATCH(A110,Sheet1!$D$23:$D$34,0))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10" s="13" t="s">
        <v>229</v>
      </c>
      <c r="H110" s="13" t="s">
        <v>230</v>
      </c>
      <c r="I110" s="13">
        <v>2021</v>
      </c>
      <c r="J110" s="19" t="s">
        <v>62</v>
      </c>
      <c r="K110" s="13" t="s">
        <v>246</v>
      </c>
      <c r="L110" s="16">
        <v>658887</v>
      </c>
      <c r="M110" s="16">
        <v>4991665</v>
      </c>
      <c r="O110" s="13" t="s">
        <v>115</v>
      </c>
      <c r="P110" s="13" t="s">
        <v>78</v>
      </c>
      <c r="R110" s="13" t="s">
        <v>232</v>
      </c>
      <c r="AI110" s="18"/>
    </row>
    <row r="111" spans="1:35" x14ac:dyDescent="0.3">
      <c r="A111" s="14" t="s">
        <v>225</v>
      </c>
      <c r="B111" s="13" t="s">
        <v>226</v>
      </c>
      <c r="C111" s="13" t="s">
        <v>227</v>
      </c>
      <c r="D111" s="13" t="s">
        <v>228</v>
      </c>
      <c r="E111" s="13" t="str">
        <f>INDEX(Sheet1!$E$23:$E$34,MATCH(A111,Sheet1!$D$23:$D$34,0))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11" s="13" t="s">
        <v>229</v>
      </c>
      <c r="H111" s="13" t="s">
        <v>230</v>
      </c>
      <c r="I111" s="13">
        <v>2021</v>
      </c>
      <c r="J111" s="19" t="s">
        <v>62</v>
      </c>
      <c r="K111" s="13" t="s">
        <v>247</v>
      </c>
      <c r="L111" s="16">
        <v>659636</v>
      </c>
      <c r="M111" s="16">
        <v>4996528</v>
      </c>
      <c r="O111" s="13" t="s">
        <v>115</v>
      </c>
      <c r="P111" s="13" t="s">
        <v>78</v>
      </c>
      <c r="R111" s="13" t="s">
        <v>232</v>
      </c>
      <c r="AI111" s="18"/>
    </row>
    <row r="112" spans="1:35" x14ac:dyDescent="0.3">
      <c r="A112" s="14" t="s">
        <v>225</v>
      </c>
      <c r="B112" s="13" t="s">
        <v>226</v>
      </c>
      <c r="C112" s="13" t="s">
        <v>227</v>
      </c>
      <c r="D112" s="13" t="s">
        <v>228</v>
      </c>
      <c r="E112" s="13" t="str">
        <f>INDEX(Sheet1!$E$23:$E$34,MATCH(A112,Sheet1!$D$23:$D$34,0))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12" s="13" t="s">
        <v>229</v>
      </c>
      <c r="H112" s="13" t="s">
        <v>230</v>
      </c>
      <c r="I112" s="13">
        <v>2021</v>
      </c>
      <c r="J112" s="19" t="s">
        <v>62</v>
      </c>
      <c r="K112" s="13" t="s">
        <v>248</v>
      </c>
      <c r="L112" s="16">
        <v>658887</v>
      </c>
      <c r="M112" s="16">
        <v>4991665</v>
      </c>
      <c r="O112" s="13" t="s">
        <v>115</v>
      </c>
      <c r="P112" s="13" t="s">
        <v>78</v>
      </c>
      <c r="R112" s="13" t="s">
        <v>232</v>
      </c>
      <c r="AI112" s="18"/>
    </row>
    <row r="113" spans="1:35" x14ac:dyDescent="0.3">
      <c r="A113" s="14" t="s">
        <v>225</v>
      </c>
      <c r="B113" s="13" t="s">
        <v>226</v>
      </c>
      <c r="C113" s="13" t="s">
        <v>227</v>
      </c>
      <c r="D113" s="13" t="s">
        <v>228</v>
      </c>
      <c r="E113" s="13" t="str">
        <f>INDEX(Sheet1!$E$23:$E$34,MATCH(A113,Sheet1!$D$23:$D$34,0))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13" s="13" t="s">
        <v>229</v>
      </c>
      <c r="H113" s="13" t="s">
        <v>230</v>
      </c>
      <c r="I113" s="13">
        <v>2021</v>
      </c>
      <c r="J113" s="19" t="s">
        <v>62</v>
      </c>
      <c r="K113" s="13" t="s">
        <v>249</v>
      </c>
      <c r="L113" s="16">
        <v>658972</v>
      </c>
      <c r="M113" s="16">
        <v>4993949</v>
      </c>
      <c r="O113" s="13" t="s">
        <v>115</v>
      </c>
      <c r="P113" s="13" t="s">
        <v>78</v>
      </c>
      <c r="R113" s="13" t="s">
        <v>232</v>
      </c>
      <c r="AI113" s="18"/>
    </row>
    <row r="114" spans="1:35" x14ac:dyDescent="0.3">
      <c r="A114" s="14" t="s">
        <v>225</v>
      </c>
      <c r="B114" s="13" t="s">
        <v>226</v>
      </c>
      <c r="C114" s="13" t="s">
        <v>227</v>
      </c>
      <c r="D114" s="13" t="s">
        <v>228</v>
      </c>
      <c r="E114" s="13" t="str">
        <f>INDEX(Sheet1!$E$23:$E$34,MATCH(A114,Sheet1!$D$23:$D$34,0))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14" s="13" t="s">
        <v>229</v>
      </c>
      <c r="H114" s="13" t="s">
        <v>230</v>
      </c>
      <c r="I114" s="13">
        <v>2021</v>
      </c>
      <c r="J114" s="19" t="s">
        <v>62</v>
      </c>
      <c r="K114" s="13" t="s">
        <v>250</v>
      </c>
      <c r="L114" s="16">
        <v>655331</v>
      </c>
      <c r="M114" s="16">
        <v>4985470</v>
      </c>
      <c r="O114" s="13" t="s">
        <v>115</v>
      </c>
      <c r="P114" s="13" t="s">
        <v>78</v>
      </c>
      <c r="R114" s="13" t="s">
        <v>232</v>
      </c>
      <c r="AI114" s="18"/>
    </row>
    <row r="115" spans="1:35" x14ac:dyDescent="0.3">
      <c r="A115" s="14" t="s">
        <v>225</v>
      </c>
      <c r="B115" s="13" t="s">
        <v>226</v>
      </c>
      <c r="C115" s="13" t="s">
        <v>227</v>
      </c>
      <c r="D115" s="13" t="s">
        <v>228</v>
      </c>
      <c r="E115" s="13" t="str">
        <f>INDEX(Sheet1!$E$23:$E$34,MATCH(A115,Sheet1!$D$23:$D$34,0))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15" s="13" t="s">
        <v>229</v>
      </c>
      <c r="H115" s="13" t="s">
        <v>230</v>
      </c>
      <c r="I115" s="13">
        <v>2021</v>
      </c>
      <c r="J115" s="19" t="s">
        <v>62</v>
      </c>
      <c r="K115" s="13" t="s">
        <v>251</v>
      </c>
      <c r="L115" s="16">
        <v>659544</v>
      </c>
      <c r="M115" s="16">
        <v>5000201</v>
      </c>
      <c r="O115" s="13" t="s">
        <v>115</v>
      </c>
      <c r="P115" s="13" t="s">
        <v>78</v>
      </c>
      <c r="R115" s="13" t="s">
        <v>232</v>
      </c>
      <c r="AI115" s="18"/>
    </row>
    <row r="116" spans="1:35" x14ac:dyDescent="0.3">
      <c r="A116" s="14" t="s">
        <v>225</v>
      </c>
      <c r="B116" s="13" t="s">
        <v>226</v>
      </c>
      <c r="C116" s="13" t="s">
        <v>227</v>
      </c>
      <c r="D116" s="13" t="s">
        <v>228</v>
      </c>
      <c r="E116" s="13" t="str">
        <f>INDEX(Sheet1!$E$23:$E$34,MATCH(A116,Sheet1!$D$23:$D$34,0))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16" s="13" t="s">
        <v>229</v>
      </c>
      <c r="H116" s="13" t="s">
        <v>230</v>
      </c>
      <c r="I116" s="13">
        <v>2021</v>
      </c>
      <c r="J116" s="19" t="s">
        <v>62</v>
      </c>
      <c r="K116" s="13" t="s">
        <v>252</v>
      </c>
      <c r="L116" s="16">
        <v>664229</v>
      </c>
      <c r="M116" s="16">
        <v>4997835</v>
      </c>
      <c r="O116" s="13" t="s">
        <v>115</v>
      </c>
      <c r="P116" s="13" t="s">
        <v>78</v>
      </c>
      <c r="R116" s="13" t="s">
        <v>232</v>
      </c>
      <c r="AI116" s="18"/>
    </row>
    <row r="117" spans="1:35" x14ac:dyDescent="0.3">
      <c r="A117" s="14" t="s">
        <v>225</v>
      </c>
      <c r="B117" s="13" t="s">
        <v>226</v>
      </c>
      <c r="C117" s="13" t="s">
        <v>227</v>
      </c>
      <c r="D117" s="13" t="s">
        <v>228</v>
      </c>
      <c r="E117" s="13" t="str">
        <f>INDEX(Sheet1!$E$23:$E$34,MATCH(A117,Sheet1!$D$23:$D$34,0))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17" s="13" t="s">
        <v>229</v>
      </c>
      <c r="H117" s="13" t="s">
        <v>230</v>
      </c>
      <c r="I117" s="13">
        <v>2021</v>
      </c>
      <c r="J117" s="19" t="s">
        <v>62</v>
      </c>
      <c r="K117" s="13" t="s">
        <v>253</v>
      </c>
      <c r="L117" s="16">
        <v>663782</v>
      </c>
      <c r="M117" s="16">
        <v>5006585</v>
      </c>
      <c r="O117" s="13" t="s">
        <v>115</v>
      </c>
      <c r="P117" s="13" t="s">
        <v>78</v>
      </c>
      <c r="R117" s="13" t="s">
        <v>232</v>
      </c>
      <c r="AI117" s="18"/>
    </row>
    <row r="118" spans="1:35" x14ac:dyDescent="0.3">
      <c r="A118" s="14" t="s">
        <v>225</v>
      </c>
      <c r="B118" s="13" t="s">
        <v>226</v>
      </c>
      <c r="C118" s="13" t="s">
        <v>227</v>
      </c>
      <c r="D118" s="13" t="s">
        <v>228</v>
      </c>
      <c r="E118" s="13" t="str">
        <f>INDEX(Sheet1!$E$23:$E$34,MATCH(A118,Sheet1!$D$23:$D$34,0))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18" s="13" t="s">
        <v>229</v>
      </c>
      <c r="H118" s="13" t="s">
        <v>230</v>
      </c>
      <c r="I118" s="13">
        <v>2021</v>
      </c>
      <c r="J118" s="19" t="s">
        <v>62</v>
      </c>
      <c r="K118" s="13" t="s">
        <v>254</v>
      </c>
      <c r="L118" s="16">
        <v>663038</v>
      </c>
      <c r="M118" s="16">
        <v>5006205</v>
      </c>
      <c r="O118" s="13" t="s">
        <v>115</v>
      </c>
      <c r="P118" s="13" t="s">
        <v>78</v>
      </c>
      <c r="R118" s="13" t="s">
        <v>232</v>
      </c>
      <c r="AI118" s="18"/>
    </row>
    <row r="119" spans="1:35" x14ac:dyDescent="0.3">
      <c r="A119" s="14" t="s">
        <v>225</v>
      </c>
      <c r="B119" s="13" t="s">
        <v>226</v>
      </c>
      <c r="C119" s="13" t="s">
        <v>227</v>
      </c>
      <c r="D119" s="13" t="s">
        <v>228</v>
      </c>
      <c r="E119" s="13" t="str">
        <f>INDEX(Sheet1!$E$23:$E$34,MATCH(A119,Sheet1!$D$23:$D$34,0))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19" s="13" t="s">
        <v>229</v>
      </c>
      <c r="H119" s="13" t="s">
        <v>230</v>
      </c>
      <c r="I119" s="13">
        <v>2021</v>
      </c>
      <c r="J119" s="19" t="s">
        <v>62</v>
      </c>
      <c r="K119" s="13" t="s">
        <v>255</v>
      </c>
      <c r="L119" s="16">
        <v>661482</v>
      </c>
      <c r="M119" s="16">
        <v>5004811</v>
      </c>
      <c r="O119" s="13" t="s">
        <v>115</v>
      </c>
      <c r="P119" s="13" t="s">
        <v>78</v>
      </c>
      <c r="R119" s="13" t="s">
        <v>232</v>
      </c>
      <c r="AI119" s="18"/>
    </row>
    <row r="120" spans="1:35" x14ac:dyDescent="0.3">
      <c r="A120" s="14" t="s">
        <v>225</v>
      </c>
      <c r="B120" s="13" t="s">
        <v>226</v>
      </c>
      <c r="C120" s="13" t="s">
        <v>227</v>
      </c>
      <c r="D120" s="13" t="s">
        <v>228</v>
      </c>
      <c r="E120" s="13" t="str">
        <f>INDEX(Sheet1!$E$23:$E$34,MATCH(A120,Sheet1!$D$23:$D$34,0))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20" s="13" t="s">
        <v>229</v>
      </c>
      <c r="H120" s="13" t="s">
        <v>230</v>
      </c>
      <c r="I120" s="13">
        <v>2021</v>
      </c>
      <c r="J120" s="19" t="s">
        <v>62</v>
      </c>
      <c r="K120" s="13" t="s">
        <v>256</v>
      </c>
      <c r="L120" s="16">
        <v>659669</v>
      </c>
      <c r="M120" s="16">
        <v>5002112</v>
      </c>
      <c r="O120" s="13" t="s">
        <v>115</v>
      </c>
      <c r="P120" s="13" t="s">
        <v>78</v>
      </c>
      <c r="R120" s="13" t="s">
        <v>232</v>
      </c>
      <c r="AI120" s="18"/>
    </row>
    <row r="121" spans="1:35" x14ac:dyDescent="0.3">
      <c r="A121" s="14" t="s">
        <v>225</v>
      </c>
      <c r="B121" s="13" t="s">
        <v>226</v>
      </c>
      <c r="C121" s="13" t="s">
        <v>227</v>
      </c>
      <c r="D121" s="13" t="s">
        <v>228</v>
      </c>
      <c r="E121" s="13" t="str">
        <f>INDEX(Sheet1!$E$23:$E$34,MATCH(A121,Sheet1!$D$23:$D$34,0))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21" s="13" t="s">
        <v>229</v>
      </c>
      <c r="H121" s="13" t="s">
        <v>230</v>
      </c>
      <c r="I121" s="13">
        <v>2021</v>
      </c>
      <c r="J121" s="19" t="s">
        <v>62</v>
      </c>
      <c r="K121" s="13" t="s">
        <v>257</v>
      </c>
      <c r="L121" s="16">
        <v>664490</v>
      </c>
      <c r="M121" s="16">
        <v>4998584</v>
      </c>
      <c r="O121" s="13" t="s">
        <v>115</v>
      </c>
      <c r="P121" s="13" t="s">
        <v>78</v>
      </c>
      <c r="R121" s="13" t="s">
        <v>232</v>
      </c>
      <c r="AI121" s="18"/>
    </row>
    <row r="122" spans="1:35" x14ac:dyDescent="0.3">
      <c r="A122" s="14" t="s">
        <v>225</v>
      </c>
      <c r="B122" s="13" t="s">
        <v>226</v>
      </c>
      <c r="C122" s="13" t="s">
        <v>227</v>
      </c>
      <c r="D122" s="13" t="s">
        <v>228</v>
      </c>
      <c r="E122" s="13" t="str">
        <f>INDEX(Sheet1!$E$23:$E$34,MATCH(A122,Sheet1!$D$23:$D$34,0))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22" s="13" t="s">
        <v>229</v>
      </c>
      <c r="H122" s="13" t="s">
        <v>230</v>
      </c>
      <c r="I122" s="13">
        <v>2021</v>
      </c>
      <c r="J122" s="19" t="s">
        <v>62</v>
      </c>
      <c r="K122" s="13" t="s">
        <v>258</v>
      </c>
      <c r="L122" s="16">
        <v>673558</v>
      </c>
      <c r="M122" s="16">
        <v>5004488</v>
      </c>
      <c r="O122" s="13" t="s">
        <v>115</v>
      </c>
      <c r="P122" s="13" t="s">
        <v>78</v>
      </c>
      <c r="R122" s="13" t="s">
        <v>232</v>
      </c>
      <c r="AI122" s="18"/>
    </row>
    <row r="123" spans="1:35" x14ac:dyDescent="0.3">
      <c r="A123" s="14" t="s">
        <v>225</v>
      </c>
      <c r="B123" s="13" t="s">
        <v>226</v>
      </c>
      <c r="C123" s="13" t="s">
        <v>227</v>
      </c>
      <c r="D123" s="13" t="s">
        <v>228</v>
      </c>
      <c r="E123" s="13" t="str">
        <f>INDEX(Sheet1!$E$23:$E$34,MATCH(A123,Sheet1!$D$23:$D$34,0))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23" s="13" t="s">
        <v>229</v>
      </c>
      <c r="H123" s="13" t="s">
        <v>230</v>
      </c>
      <c r="I123" s="13">
        <v>2021</v>
      </c>
      <c r="J123" s="19" t="s">
        <v>62</v>
      </c>
      <c r="K123" s="13" t="s">
        <v>259</v>
      </c>
      <c r="L123" s="16">
        <v>659802</v>
      </c>
      <c r="M123" s="16">
        <v>4999485</v>
      </c>
      <c r="O123" s="13" t="s">
        <v>115</v>
      </c>
      <c r="P123" s="13" t="s">
        <v>78</v>
      </c>
      <c r="R123" s="13" t="s">
        <v>232</v>
      </c>
      <c r="AI123" s="18"/>
    </row>
    <row r="124" spans="1:35" x14ac:dyDescent="0.3">
      <c r="A124" s="14" t="s">
        <v>225</v>
      </c>
      <c r="B124" s="13" t="s">
        <v>226</v>
      </c>
      <c r="C124" s="13" t="s">
        <v>227</v>
      </c>
      <c r="D124" s="13" t="s">
        <v>228</v>
      </c>
      <c r="E124" s="13" t="str">
        <f>INDEX(Sheet1!$E$23:$E$34,MATCH(A124,Sheet1!$D$23:$D$34,0))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24" s="13" t="s">
        <v>229</v>
      </c>
      <c r="H124" s="13" t="s">
        <v>230</v>
      </c>
      <c r="I124" s="13">
        <v>2021</v>
      </c>
      <c r="J124" s="19" t="s">
        <v>62</v>
      </c>
      <c r="K124" s="13" t="s">
        <v>260</v>
      </c>
      <c r="L124" s="16">
        <v>659716</v>
      </c>
      <c r="M124" s="16">
        <v>4999397</v>
      </c>
      <c r="O124" s="13" t="s">
        <v>115</v>
      </c>
      <c r="P124" s="13" t="s">
        <v>78</v>
      </c>
      <c r="R124" s="13" t="s">
        <v>232</v>
      </c>
      <c r="AI124" s="18"/>
    </row>
    <row r="125" spans="1:35" x14ac:dyDescent="0.3">
      <c r="A125" s="14" t="s">
        <v>225</v>
      </c>
      <c r="B125" s="13" t="s">
        <v>226</v>
      </c>
      <c r="C125" s="13" t="s">
        <v>227</v>
      </c>
      <c r="D125" s="13" t="s">
        <v>228</v>
      </c>
      <c r="E125" s="13" t="str">
        <f>INDEX(Sheet1!$E$23:$E$34,MATCH(A125,Sheet1!$D$23:$D$34,0))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25" s="13" t="s">
        <v>229</v>
      </c>
      <c r="H125" s="13" t="s">
        <v>230</v>
      </c>
      <c r="I125" s="13">
        <v>2021</v>
      </c>
      <c r="J125" s="19" t="s">
        <v>62</v>
      </c>
      <c r="K125" s="13" t="s">
        <v>261</v>
      </c>
      <c r="L125" s="16">
        <v>659460</v>
      </c>
      <c r="M125" s="16">
        <v>4998455</v>
      </c>
      <c r="O125" s="13" t="s">
        <v>115</v>
      </c>
      <c r="P125" s="13" t="s">
        <v>78</v>
      </c>
      <c r="R125" s="13" t="s">
        <v>232</v>
      </c>
      <c r="AI125" s="18"/>
    </row>
    <row r="126" spans="1:35" x14ac:dyDescent="0.3">
      <c r="A126" s="14" t="s">
        <v>225</v>
      </c>
      <c r="B126" s="13" t="s">
        <v>226</v>
      </c>
      <c r="C126" s="13" t="s">
        <v>227</v>
      </c>
      <c r="D126" s="13" t="s">
        <v>228</v>
      </c>
      <c r="E126" s="13" t="str">
        <f>INDEX(Sheet1!$E$23:$E$34,MATCH(A126,Sheet1!$D$23:$D$34,0))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26" s="13" t="s">
        <v>229</v>
      </c>
      <c r="H126" s="13" t="s">
        <v>230</v>
      </c>
      <c r="I126" s="13">
        <v>2021</v>
      </c>
      <c r="J126" s="19" t="s">
        <v>62</v>
      </c>
      <c r="K126" s="13" t="s">
        <v>262</v>
      </c>
      <c r="L126" s="16">
        <v>659847</v>
      </c>
      <c r="M126" s="16">
        <v>4997061</v>
      </c>
      <c r="O126" s="13" t="s">
        <v>115</v>
      </c>
      <c r="P126" s="13" t="s">
        <v>78</v>
      </c>
      <c r="R126" s="13" t="s">
        <v>232</v>
      </c>
      <c r="AI126" s="18"/>
    </row>
    <row r="127" spans="1:35" x14ac:dyDescent="0.3">
      <c r="A127" s="14" t="s">
        <v>225</v>
      </c>
      <c r="B127" s="13" t="s">
        <v>226</v>
      </c>
      <c r="C127" s="13" t="s">
        <v>227</v>
      </c>
      <c r="D127" s="13" t="s">
        <v>228</v>
      </c>
      <c r="E127" s="13" t="str">
        <f>INDEX(Sheet1!$E$23:$E$34,MATCH(A127,Sheet1!$D$23:$D$34,0))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27" s="13" t="s">
        <v>229</v>
      </c>
      <c r="H127" s="13" t="s">
        <v>230</v>
      </c>
      <c r="I127" s="13">
        <v>2021</v>
      </c>
      <c r="J127" s="19" t="s">
        <v>62</v>
      </c>
      <c r="K127" s="13" t="s">
        <v>263</v>
      </c>
      <c r="L127" s="16">
        <v>660084</v>
      </c>
      <c r="M127" s="16">
        <v>4996396</v>
      </c>
      <c r="O127" s="13" t="s">
        <v>115</v>
      </c>
      <c r="P127" s="13" t="s">
        <v>78</v>
      </c>
      <c r="R127" s="13" t="s">
        <v>232</v>
      </c>
      <c r="AI127" s="18"/>
    </row>
    <row r="128" spans="1:35" x14ac:dyDescent="0.3">
      <c r="A128" s="14" t="s">
        <v>225</v>
      </c>
      <c r="B128" s="13" t="s">
        <v>226</v>
      </c>
      <c r="C128" s="13" t="s">
        <v>227</v>
      </c>
      <c r="D128" s="13" t="s">
        <v>228</v>
      </c>
      <c r="E128" s="13" t="str">
        <f>INDEX(Sheet1!$E$23:$E$34,MATCH(A128,Sheet1!$D$23:$D$34,0))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28" s="13" t="s">
        <v>229</v>
      </c>
      <c r="H128" s="13" t="s">
        <v>230</v>
      </c>
      <c r="I128" s="13">
        <v>2021</v>
      </c>
      <c r="J128" s="19" t="s">
        <v>62</v>
      </c>
      <c r="K128" s="13" t="s">
        <v>264</v>
      </c>
      <c r="L128" s="16">
        <v>657472</v>
      </c>
      <c r="M128" s="16">
        <v>4996006</v>
      </c>
      <c r="O128" s="13" t="s">
        <v>115</v>
      </c>
      <c r="P128" s="13" t="s">
        <v>78</v>
      </c>
      <c r="R128" s="13" t="s">
        <v>232</v>
      </c>
      <c r="AI128" s="18"/>
    </row>
    <row r="129" spans="1:35" x14ac:dyDescent="0.3">
      <c r="A129" s="14" t="s">
        <v>225</v>
      </c>
      <c r="B129" s="13" t="s">
        <v>226</v>
      </c>
      <c r="C129" s="13" t="s">
        <v>227</v>
      </c>
      <c r="D129" s="13" t="s">
        <v>228</v>
      </c>
      <c r="E129" s="13" t="str">
        <f>INDEX(Sheet1!$E$23:$E$34,MATCH(A129,Sheet1!$D$23:$D$34,0))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29" s="13" t="s">
        <v>229</v>
      </c>
      <c r="H129" s="13" t="s">
        <v>230</v>
      </c>
      <c r="I129" s="13">
        <v>2021</v>
      </c>
      <c r="J129" s="19" t="s">
        <v>62</v>
      </c>
      <c r="K129" s="13" t="s">
        <v>265</v>
      </c>
      <c r="L129" s="16">
        <v>658801</v>
      </c>
      <c r="M129" s="16">
        <v>4996092</v>
      </c>
      <c r="O129" s="13" t="s">
        <v>115</v>
      </c>
      <c r="P129" s="13" t="s">
        <v>78</v>
      </c>
      <c r="R129" s="13" t="s">
        <v>232</v>
      </c>
      <c r="AI129" s="18"/>
    </row>
    <row r="130" spans="1:35" x14ac:dyDescent="0.3">
      <c r="A130" s="14" t="s">
        <v>225</v>
      </c>
      <c r="B130" s="13" t="s">
        <v>226</v>
      </c>
      <c r="C130" s="13" t="s">
        <v>227</v>
      </c>
      <c r="D130" s="13" t="s">
        <v>228</v>
      </c>
      <c r="E130" s="13" t="str">
        <f>INDEX(Sheet1!$E$23:$E$34,MATCH(A130,Sheet1!$D$23:$D$34,0))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30" s="13" t="s">
        <v>266</v>
      </c>
      <c r="H130" s="13" t="s">
        <v>230</v>
      </c>
      <c r="I130" s="13">
        <v>2021</v>
      </c>
      <c r="J130" s="19" t="s">
        <v>62</v>
      </c>
      <c r="K130" s="13" t="s">
        <v>267</v>
      </c>
      <c r="L130" s="16">
        <v>666714</v>
      </c>
      <c r="M130" s="16">
        <v>4991983</v>
      </c>
      <c r="O130" s="13" t="s">
        <v>45</v>
      </c>
      <c r="P130" s="13" t="s">
        <v>168</v>
      </c>
      <c r="R130" s="13" t="s">
        <v>232</v>
      </c>
      <c r="AI130" s="18"/>
    </row>
    <row r="131" spans="1:35" x14ac:dyDescent="0.3">
      <c r="A131" s="14" t="s">
        <v>225</v>
      </c>
      <c r="B131" s="13" t="s">
        <v>226</v>
      </c>
      <c r="C131" s="13" t="s">
        <v>227</v>
      </c>
      <c r="D131" s="13" t="s">
        <v>228</v>
      </c>
      <c r="E131" s="13" t="str">
        <f>INDEX(Sheet1!$E$23:$E$34,MATCH(A131,Sheet1!$D$23:$D$34,0))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31" s="13" t="s">
        <v>266</v>
      </c>
      <c r="H131" s="13" t="s">
        <v>230</v>
      </c>
      <c r="I131" s="13">
        <v>2021</v>
      </c>
      <c r="J131" s="19" t="s">
        <v>62</v>
      </c>
      <c r="K131" s="13" t="s">
        <v>268</v>
      </c>
      <c r="L131" s="16">
        <v>670084</v>
      </c>
      <c r="M131" s="16">
        <v>4989001</v>
      </c>
      <c r="O131" s="13" t="s">
        <v>45</v>
      </c>
      <c r="P131" s="13" t="s">
        <v>168</v>
      </c>
      <c r="R131" s="13" t="s">
        <v>232</v>
      </c>
      <c r="AI131" s="18"/>
    </row>
    <row r="132" spans="1:35" x14ac:dyDescent="0.3">
      <c r="A132" s="14" t="s">
        <v>225</v>
      </c>
      <c r="B132" s="13" t="s">
        <v>226</v>
      </c>
      <c r="C132" s="13" t="s">
        <v>227</v>
      </c>
      <c r="D132" s="13" t="s">
        <v>228</v>
      </c>
      <c r="E132" s="13" t="str">
        <f>INDEX(Sheet1!$E$23:$E$34,MATCH(A132,Sheet1!$D$23:$D$34,0))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32" s="13" t="s">
        <v>266</v>
      </c>
      <c r="H132" s="13" t="s">
        <v>230</v>
      </c>
      <c r="I132" s="13">
        <v>2021</v>
      </c>
      <c r="J132" s="19" t="s">
        <v>62</v>
      </c>
      <c r="K132" s="13" t="s">
        <v>269</v>
      </c>
      <c r="L132" s="16">
        <v>671625</v>
      </c>
      <c r="M132" s="16">
        <v>4986394</v>
      </c>
      <c r="O132" s="13" t="s">
        <v>45</v>
      </c>
      <c r="P132" s="13" t="s">
        <v>168</v>
      </c>
      <c r="R132" s="13" t="s">
        <v>232</v>
      </c>
      <c r="AI132" s="18"/>
    </row>
    <row r="133" spans="1:35" x14ac:dyDescent="0.3">
      <c r="A133" s="14" t="s">
        <v>225</v>
      </c>
      <c r="B133" s="13" t="s">
        <v>226</v>
      </c>
      <c r="C133" s="13" t="s">
        <v>227</v>
      </c>
      <c r="D133" s="13" t="s">
        <v>228</v>
      </c>
      <c r="E133" s="13" t="str">
        <f>INDEX(Sheet1!$E$23:$E$34,MATCH(A133,Sheet1!$D$23:$D$34,0))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33" s="13" t="s">
        <v>266</v>
      </c>
      <c r="H133" s="13" t="s">
        <v>230</v>
      </c>
      <c r="I133" s="13">
        <v>2021</v>
      </c>
      <c r="J133" s="19" t="s">
        <v>62</v>
      </c>
      <c r="K133" s="13" t="s">
        <v>270</v>
      </c>
      <c r="L133" s="16">
        <v>674787</v>
      </c>
      <c r="M133" s="16">
        <v>4983565</v>
      </c>
      <c r="O133" s="13" t="s">
        <v>45</v>
      </c>
      <c r="P133" s="13" t="s">
        <v>168</v>
      </c>
      <c r="R133" s="13" t="s">
        <v>232</v>
      </c>
      <c r="AI133" s="18"/>
    </row>
    <row r="134" spans="1:35" x14ac:dyDescent="0.3">
      <c r="A134" s="14" t="s">
        <v>225</v>
      </c>
      <c r="B134" s="13" t="s">
        <v>226</v>
      </c>
      <c r="C134" s="13" t="s">
        <v>227</v>
      </c>
      <c r="D134" s="13" t="s">
        <v>228</v>
      </c>
      <c r="E134" s="13" t="str">
        <f>INDEX(Sheet1!$E$23:$E$34,MATCH(A134,Sheet1!$D$23:$D$34,0))</f>
        <v>Las Orcas Spa. (Photosintesis) (2021) Informe de resutados de pesca de investigación asociado al permiso SUBPESCA, R. EX N°E-2021-117. Proyecto: Caracterización limnológica y uso de hábitats ribereños en los lagos Meullín, Yulton y Río cuervos, región del General Carlos Ibáñez del Campo. Mandante: Fundación Kreen.</v>
      </c>
      <c r="G134" s="13" t="s">
        <v>266</v>
      </c>
      <c r="H134" s="13" t="s">
        <v>230</v>
      </c>
      <c r="I134" s="13">
        <v>2021</v>
      </c>
      <c r="J134" s="19" t="s">
        <v>62</v>
      </c>
      <c r="K134" s="13" t="s">
        <v>271</v>
      </c>
      <c r="L134" s="16">
        <v>677656</v>
      </c>
      <c r="M134" s="16">
        <v>4981757</v>
      </c>
      <c r="O134" s="13" t="s">
        <v>45</v>
      </c>
      <c r="P134" s="13" t="s">
        <v>168</v>
      </c>
      <c r="R134" s="13" t="s">
        <v>232</v>
      </c>
      <c r="AI134" s="18"/>
    </row>
    <row r="135" spans="1:35" x14ac:dyDescent="0.3">
      <c r="A135" s="14" t="s">
        <v>272</v>
      </c>
      <c r="B135" s="13" t="s">
        <v>273</v>
      </c>
      <c r="C135" s="13" t="s">
        <v>274</v>
      </c>
      <c r="D135" s="13" t="s">
        <v>275</v>
      </c>
      <c r="E135" s="13" t="str">
        <f>INDEX(Sheet1!$E$23:$E$34,MATCH(A135,Sheet1!$D$23:$D$34,0))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35" s="13" t="s">
        <v>276</v>
      </c>
      <c r="H135" s="13" t="s">
        <v>37</v>
      </c>
      <c r="I135" s="13">
        <v>2023</v>
      </c>
      <c r="J135" s="20" t="s">
        <v>277</v>
      </c>
      <c r="K135" s="13" t="s">
        <v>278</v>
      </c>
      <c r="L135" s="16">
        <v>725805</v>
      </c>
      <c r="M135" s="16">
        <v>4932723</v>
      </c>
      <c r="O135" s="13" t="s">
        <v>45</v>
      </c>
      <c r="P135" s="13" t="s">
        <v>168</v>
      </c>
      <c r="Q135" s="17">
        <v>1</v>
      </c>
      <c r="R135" s="13" t="s">
        <v>279</v>
      </c>
      <c r="Z135" s="13">
        <v>1</v>
      </c>
      <c r="AE135" s="13">
        <v>1</v>
      </c>
      <c r="AH135" s="13">
        <v>7</v>
      </c>
      <c r="AI135" s="18"/>
    </row>
    <row r="136" spans="1:35" x14ac:dyDescent="0.3">
      <c r="A136" s="14" t="s">
        <v>272</v>
      </c>
      <c r="B136" s="13" t="s">
        <v>273</v>
      </c>
      <c r="C136" s="13" t="s">
        <v>274</v>
      </c>
      <c r="D136" s="13" t="s">
        <v>275</v>
      </c>
      <c r="E136" s="13" t="str">
        <f>INDEX(Sheet1!$E$23:$E$34,MATCH(A136,Sheet1!$D$23:$D$34,0))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36" s="13" t="s">
        <v>276</v>
      </c>
      <c r="H136" s="13" t="s">
        <v>37</v>
      </c>
      <c r="I136" s="13">
        <v>2023</v>
      </c>
      <c r="J136" s="19" t="s">
        <v>277</v>
      </c>
      <c r="K136" s="13" t="s">
        <v>278</v>
      </c>
      <c r="L136" s="16">
        <v>725805</v>
      </c>
      <c r="M136" s="16">
        <v>4932723</v>
      </c>
      <c r="O136" s="13" t="s">
        <v>45</v>
      </c>
      <c r="P136" s="13" t="s">
        <v>168</v>
      </c>
      <c r="Q136" s="17">
        <v>2</v>
      </c>
      <c r="R136" s="13" t="s">
        <v>279</v>
      </c>
      <c r="Z136" s="13">
        <v>2</v>
      </c>
      <c r="AE136" s="13">
        <v>2</v>
      </c>
      <c r="AH136" s="13">
        <v>7</v>
      </c>
      <c r="AI136" s="18"/>
    </row>
    <row r="137" spans="1:35" x14ac:dyDescent="0.3">
      <c r="A137" s="14" t="s">
        <v>272</v>
      </c>
      <c r="B137" s="13" t="s">
        <v>273</v>
      </c>
      <c r="C137" s="13" t="s">
        <v>274</v>
      </c>
      <c r="D137" s="13" t="s">
        <v>275</v>
      </c>
      <c r="E137" s="13" t="str">
        <f>INDEX(Sheet1!$E$23:$E$34,MATCH(A137,Sheet1!$D$23:$D$34,0))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37" s="13" t="s">
        <v>276</v>
      </c>
      <c r="H137" s="13" t="s">
        <v>37</v>
      </c>
      <c r="I137" s="13">
        <v>2023</v>
      </c>
      <c r="J137" s="19" t="s">
        <v>277</v>
      </c>
      <c r="K137" s="13" t="s">
        <v>278</v>
      </c>
      <c r="L137" s="16">
        <v>725805</v>
      </c>
      <c r="M137" s="16">
        <v>4932723</v>
      </c>
      <c r="O137" s="13" t="s">
        <v>39</v>
      </c>
      <c r="P137" s="13" t="s">
        <v>280</v>
      </c>
      <c r="Q137" s="17">
        <v>3</v>
      </c>
      <c r="R137" s="13" t="s">
        <v>279</v>
      </c>
      <c r="Z137" s="13">
        <v>3</v>
      </c>
      <c r="AE137" s="13">
        <v>3</v>
      </c>
      <c r="AH137" s="13">
        <v>5.5</v>
      </c>
      <c r="AI137" s="18"/>
    </row>
    <row r="138" spans="1:35" x14ac:dyDescent="0.3">
      <c r="A138" s="14" t="s">
        <v>272</v>
      </c>
      <c r="B138" s="13" t="s">
        <v>273</v>
      </c>
      <c r="C138" s="13" t="s">
        <v>274</v>
      </c>
      <c r="D138" s="13" t="s">
        <v>275</v>
      </c>
      <c r="E138" s="13" t="str">
        <f>INDEX(Sheet1!$E$23:$E$34,MATCH(A138,Sheet1!$D$23:$D$34,0))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38" s="13" t="s">
        <v>276</v>
      </c>
      <c r="H138" s="13" t="s">
        <v>37</v>
      </c>
      <c r="I138" s="13">
        <v>2023</v>
      </c>
      <c r="J138" s="19" t="s">
        <v>277</v>
      </c>
      <c r="K138" s="13" t="s">
        <v>278</v>
      </c>
      <c r="L138" s="16">
        <v>725805</v>
      </c>
      <c r="M138" s="16">
        <v>4932723</v>
      </c>
      <c r="O138" s="13" t="s">
        <v>39</v>
      </c>
      <c r="P138" s="13" t="s">
        <v>280</v>
      </c>
      <c r="Q138" s="17">
        <v>4</v>
      </c>
      <c r="R138" s="13" t="s">
        <v>279</v>
      </c>
      <c r="Z138" s="13">
        <v>4</v>
      </c>
      <c r="AE138" s="13">
        <v>4</v>
      </c>
      <c r="AH138" s="13">
        <v>7</v>
      </c>
      <c r="AI138" s="18"/>
    </row>
    <row r="139" spans="1:35" x14ac:dyDescent="0.3">
      <c r="A139" s="14" t="s">
        <v>272</v>
      </c>
      <c r="B139" s="13" t="s">
        <v>273</v>
      </c>
      <c r="C139" s="13" t="s">
        <v>274</v>
      </c>
      <c r="D139" s="13" t="s">
        <v>275</v>
      </c>
      <c r="E139" s="13" t="str">
        <f>INDEX(Sheet1!$E$23:$E$34,MATCH(A139,Sheet1!$D$23:$D$34,0))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39" s="13" t="s">
        <v>276</v>
      </c>
      <c r="H139" s="13" t="s">
        <v>37</v>
      </c>
      <c r="I139" s="13">
        <v>2023</v>
      </c>
      <c r="J139" s="19" t="s">
        <v>277</v>
      </c>
      <c r="K139" s="13" t="s">
        <v>281</v>
      </c>
      <c r="L139" s="16">
        <v>725283</v>
      </c>
      <c r="M139" s="16">
        <v>4932978</v>
      </c>
      <c r="O139" s="13" t="s">
        <v>39</v>
      </c>
      <c r="P139" s="13" t="s">
        <v>280</v>
      </c>
      <c r="Q139" s="17">
        <v>1</v>
      </c>
      <c r="R139" s="13" t="s">
        <v>279</v>
      </c>
      <c r="Z139" s="13">
        <v>1</v>
      </c>
      <c r="AE139" s="13">
        <v>1</v>
      </c>
      <c r="AH139" s="13">
        <v>29.5</v>
      </c>
      <c r="AI139" s="18"/>
    </row>
    <row r="140" spans="1:35" x14ac:dyDescent="0.3">
      <c r="A140" s="14" t="s">
        <v>272</v>
      </c>
      <c r="B140" s="13" t="s">
        <v>273</v>
      </c>
      <c r="C140" s="13" t="s">
        <v>274</v>
      </c>
      <c r="D140" s="13" t="s">
        <v>275</v>
      </c>
      <c r="E140" s="13" t="str">
        <f>INDEX(Sheet1!$E$23:$E$34,MATCH(A140,Sheet1!$D$23:$D$34,0))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40" s="13" t="s">
        <v>276</v>
      </c>
      <c r="H140" s="13" t="s">
        <v>37</v>
      </c>
      <c r="I140" s="13">
        <v>2023</v>
      </c>
      <c r="J140" s="19" t="s">
        <v>277</v>
      </c>
      <c r="K140" s="13" t="s">
        <v>281</v>
      </c>
      <c r="L140" s="16">
        <v>725283</v>
      </c>
      <c r="M140" s="16">
        <v>4932978</v>
      </c>
      <c r="O140" s="13" t="s">
        <v>39</v>
      </c>
      <c r="P140" s="13" t="s">
        <v>280</v>
      </c>
      <c r="Q140" s="17">
        <v>2</v>
      </c>
      <c r="R140" s="13" t="s">
        <v>279</v>
      </c>
      <c r="Z140" s="13">
        <v>2</v>
      </c>
      <c r="AE140" s="13">
        <v>2</v>
      </c>
      <c r="AH140" s="13">
        <v>56</v>
      </c>
      <c r="AI140" s="18"/>
    </row>
    <row r="141" spans="1:35" x14ac:dyDescent="0.3">
      <c r="A141" s="14" t="s">
        <v>272</v>
      </c>
      <c r="B141" s="13" t="s">
        <v>273</v>
      </c>
      <c r="C141" s="13" t="s">
        <v>274</v>
      </c>
      <c r="D141" s="13" t="s">
        <v>275</v>
      </c>
      <c r="E141" s="13" t="str">
        <f>INDEX(Sheet1!$E$23:$E$34,MATCH(A141,Sheet1!$D$23:$D$34,0))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41" s="13" t="s">
        <v>276</v>
      </c>
      <c r="H141" s="13" t="s">
        <v>37</v>
      </c>
      <c r="I141" s="13">
        <v>2023</v>
      </c>
      <c r="J141" s="19" t="s">
        <v>277</v>
      </c>
      <c r="K141" s="13" t="s">
        <v>281</v>
      </c>
      <c r="L141" s="16">
        <v>725283</v>
      </c>
      <c r="M141" s="16">
        <v>4932978</v>
      </c>
      <c r="O141" s="13" t="s">
        <v>282</v>
      </c>
      <c r="Q141" s="17">
        <v>3</v>
      </c>
      <c r="R141" s="13" t="s">
        <v>279</v>
      </c>
      <c r="Z141" s="13">
        <v>3</v>
      </c>
      <c r="AE141" s="13">
        <v>3</v>
      </c>
      <c r="AH141" s="13">
        <v>13.5</v>
      </c>
      <c r="AI141" s="18"/>
    </row>
    <row r="142" spans="1:35" x14ac:dyDescent="0.3">
      <c r="A142" s="14" t="s">
        <v>272</v>
      </c>
      <c r="B142" s="13" t="s">
        <v>273</v>
      </c>
      <c r="C142" s="13" t="s">
        <v>274</v>
      </c>
      <c r="D142" s="13" t="s">
        <v>275</v>
      </c>
      <c r="E142" s="13" t="str">
        <f>INDEX(Sheet1!$E$23:$E$34,MATCH(A142,Sheet1!$D$23:$D$34,0))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42" s="13" t="s">
        <v>276</v>
      </c>
      <c r="H142" s="13" t="s">
        <v>37</v>
      </c>
      <c r="I142" s="13">
        <v>2023</v>
      </c>
      <c r="J142" s="19" t="s">
        <v>277</v>
      </c>
      <c r="K142" s="13" t="s">
        <v>281</v>
      </c>
      <c r="L142" s="16">
        <v>725283</v>
      </c>
      <c r="M142" s="16">
        <v>4932978</v>
      </c>
      <c r="O142" s="13" t="s">
        <v>39</v>
      </c>
      <c r="P142" s="13" t="s">
        <v>280</v>
      </c>
      <c r="Q142" s="17">
        <v>4</v>
      </c>
      <c r="R142" s="13" t="s">
        <v>279</v>
      </c>
      <c r="Z142" s="13">
        <v>4</v>
      </c>
      <c r="AE142" s="13">
        <v>4</v>
      </c>
      <c r="AH142" s="13">
        <v>9.5</v>
      </c>
      <c r="AI142" s="18"/>
    </row>
    <row r="143" spans="1:35" x14ac:dyDescent="0.3">
      <c r="A143" s="14" t="s">
        <v>272</v>
      </c>
      <c r="B143" s="13" t="s">
        <v>273</v>
      </c>
      <c r="C143" s="13" t="s">
        <v>274</v>
      </c>
      <c r="D143" s="13" t="s">
        <v>275</v>
      </c>
      <c r="E143" s="13" t="str">
        <f>INDEX(Sheet1!$E$23:$E$34,MATCH(A143,Sheet1!$D$23:$D$34,0))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43" s="13" t="s">
        <v>276</v>
      </c>
      <c r="H143" s="13" t="s">
        <v>37</v>
      </c>
      <c r="I143" s="13">
        <v>2023</v>
      </c>
      <c r="J143" s="19" t="s">
        <v>277</v>
      </c>
      <c r="K143" s="13" t="s">
        <v>281</v>
      </c>
      <c r="L143" s="16">
        <v>725283</v>
      </c>
      <c r="M143" s="16">
        <v>4932978</v>
      </c>
      <c r="O143" s="13" t="s">
        <v>39</v>
      </c>
      <c r="P143" s="13" t="s">
        <v>280</v>
      </c>
      <c r="Q143" s="17">
        <v>5</v>
      </c>
      <c r="R143" s="13" t="s">
        <v>279</v>
      </c>
      <c r="Z143" s="13">
        <v>5</v>
      </c>
      <c r="AE143" s="13">
        <v>5</v>
      </c>
      <c r="AH143" s="13">
        <v>43</v>
      </c>
      <c r="AI143" s="18"/>
    </row>
    <row r="144" spans="1:35" x14ac:dyDescent="0.3">
      <c r="A144" s="14" t="s">
        <v>272</v>
      </c>
      <c r="B144" s="13" t="s">
        <v>273</v>
      </c>
      <c r="C144" s="13" t="s">
        <v>274</v>
      </c>
      <c r="D144" s="13" t="s">
        <v>275</v>
      </c>
      <c r="E144" s="13" t="str">
        <f>INDEX(Sheet1!$E$23:$E$34,MATCH(A144,Sheet1!$D$23:$D$34,0))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44" s="13" t="s">
        <v>276</v>
      </c>
      <c r="H144" s="13" t="s">
        <v>37</v>
      </c>
      <c r="I144" s="13">
        <v>2023</v>
      </c>
      <c r="J144" s="19" t="s">
        <v>277</v>
      </c>
      <c r="K144" s="13" t="s">
        <v>283</v>
      </c>
      <c r="L144" s="16">
        <v>724646</v>
      </c>
      <c r="M144" s="16">
        <v>4932925</v>
      </c>
      <c r="O144" s="13" t="s">
        <v>39</v>
      </c>
      <c r="P144" s="13" t="s">
        <v>280</v>
      </c>
      <c r="Q144" s="17">
        <v>1</v>
      </c>
      <c r="R144" s="13" t="s">
        <v>279</v>
      </c>
      <c r="Z144" s="13">
        <v>1</v>
      </c>
      <c r="AE144" s="13">
        <v>1</v>
      </c>
      <c r="AH144" s="13">
        <v>38</v>
      </c>
      <c r="AI144" s="18"/>
    </row>
    <row r="145" spans="1:35" x14ac:dyDescent="0.3">
      <c r="A145" s="14" t="s">
        <v>272</v>
      </c>
      <c r="B145" s="13" t="s">
        <v>273</v>
      </c>
      <c r="C145" s="13" t="s">
        <v>274</v>
      </c>
      <c r="D145" s="13" t="s">
        <v>275</v>
      </c>
      <c r="E145" s="13" t="str">
        <f>INDEX(Sheet1!$E$23:$E$34,MATCH(A145,Sheet1!$D$23:$D$34,0))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45" s="13" t="s">
        <v>276</v>
      </c>
      <c r="H145" s="13" t="s">
        <v>37</v>
      </c>
      <c r="I145" s="13">
        <v>2023</v>
      </c>
      <c r="J145" s="19" t="s">
        <v>277</v>
      </c>
      <c r="K145" s="13" t="s">
        <v>283</v>
      </c>
      <c r="L145" s="16">
        <v>724646</v>
      </c>
      <c r="M145" s="16">
        <v>4932925</v>
      </c>
      <c r="O145" s="13" t="s">
        <v>45</v>
      </c>
      <c r="P145" s="13" t="s">
        <v>168</v>
      </c>
      <c r="Q145" s="17">
        <v>2</v>
      </c>
      <c r="R145" s="13" t="s">
        <v>279</v>
      </c>
      <c r="Z145" s="13">
        <v>2</v>
      </c>
      <c r="AE145" s="13">
        <v>2</v>
      </c>
      <c r="AH145" s="13">
        <v>8</v>
      </c>
      <c r="AI145" s="18"/>
    </row>
    <row r="146" spans="1:35" x14ac:dyDescent="0.3">
      <c r="A146" s="14" t="s">
        <v>272</v>
      </c>
      <c r="B146" s="13" t="s">
        <v>273</v>
      </c>
      <c r="C146" s="13" t="s">
        <v>274</v>
      </c>
      <c r="D146" s="13" t="s">
        <v>275</v>
      </c>
      <c r="E146" s="13" t="str">
        <f>INDEX(Sheet1!$E$23:$E$34,MATCH(A146,Sheet1!$D$23:$D$34,0))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46" s="13" t="s">
        <v>276</v>
      </c>
      <c r="H146" s="13" t="s">
        <v>37</v>
      </c>
      <c r="I146" s="13">
        <v>2023</v>
      </c>
      <c r="J146" s="19" t="s">
        <v>277</v>
      </c>
      <c r="K146" s="13" t="s">
        <v>283</v>
      </c>
      <c r="L146" s="16">
        <v>724646</v>
      </c>
      <c r="M146" s="16">
        <v>4932925</v>
      </c>
      <c r="O146" s="13" t="s">
        <v>45</v>
      </c>
      <c r="P146" s="13" t="s">
        <v>168</v>
      </c>
      <c r="Q146" s="17">
        <v>3</v>
      </c>
      <c r="R146" s="13" t="s">
        <v>279</v>
      </c>
      <c r="Z146" s="13">
        <v>3</v>
      </c>
      <c r="AE146" s="13">
        <v>3</v>
      </c>
      <c r="AH146" s="13">
        <v>8</v>
      </c>
      <c r="AI146" s="18"/>
    </row>
    <row r="147" spans="1:35" x14ac:dyDescent="0.3">
      <c r="A147" s="14" t="s">
        <v>272</v>
      </c>
      <c r="B147" s="13" t="s">
        <v>273</v>
      </c>
      <c r="C147" s="13" t="s">
        <v>274</v>
      </c>
      <c r="D147" s="13" t="s">
        <v>275</v>
      </c>
      <c r="E147" s="13" t="str">
        <f>INDEX(Sheet1!$E$23:$E$34,MATCH(A147,Sheet1!$D$23:$D$34,0))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47" s="13" t="s">
        <v>276</v>
      </c>
      <c r="H147" s="13" t="s">
        <v>37</v>
      </c>
      <c r="I147" s="13">
        <v>2023</v>
      </c>
      <c r="J147" s="19" t="s">
        <v>277</v>
      </c>
      <c r="K147" s="13" t="s">
        <v>283</v>
      </c>
      <c r="L147" s="16">
        <v>724646</v>
      </c>
      <c r="M147" s="16">
        <v>4932925</v>
      </c>
      <c r="O147" s="13" t="s">
        <v>45</v>
      </c>
      <c r="P147" s="13" t="s">
        <v>168</v>
      </c>
      <c r="Q147" s="17">
        <v>4</v>
      </c>
      <c r="R147" s="13" t="s">
        <v>279</v>
      </c>
      <c r="Z147" s="13">
        <v>4</v>
      </c>
      <c r="AE147" s="13">
        <v>4</v>
      </c>
      <c r="AH147" s="13">
        <v>6.5</v>
      </c>
      <c r="AI147" s="18"/>
    </row>
    <row r="148" spans="1:35" x14ac:dyDescent="0.3">
      <c r="A148" s="14" t="s">
        <v>272</v>
      </c>
      <c r="B148" s="13" t="s">
        <v>273</v>
      </c>
      <c r="C148" s="13" t="s">
        <v>274</v>
      </c>
      <c r="D148" s="13" t="s">
        <v>275</v>
      </c>
      <c r="E148" s="13" t="str">
        <f>INDEX(Sheet1!$E$23:$E$34,MATCH(A148,Sheet1!$D$23:$D$34,0))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48" s="13" t="s">
        <v>276</v>
      </c>
      <c r="H148" s="13" t="s">
        <v>37</v>
      </c>
      <c r="I148" s="13">
        <v>2023</v>
      </c>
      <c r="J148" s="19" t="s">
        <v>277</v>
      </c>
      <c r="K148" s="13" t="s">
        <v>283</v>
      </c>
      <c r="L148" s="16">
        <v>724646</v>
      </c>
      <c r="M148" s="16">
        <v>4932925</v>
      </c>
      <c r="O148" s="13" t="s">
        <v>282</v>
      </c>
      <c r="Q148" s="17">
        <v>5</v>
      </c>
      <c r="R148" s="13" t="s">
        <v>279</v>
      </c>
      <c r="Z148" s="13">
        <v>5</v>
      </c>
      <c r="AE148" s="13">
        <v>5</v>
      </c>
      <c r="AH148" s="13">
        <v>11</v>
      </c>
      <c r="AI148" s="18"/>
    </row>
    <row r="149" spans="1:35" x14ac:dyDescent="0.3">
      <c r="A149" s="14" t="s">
        <v>272</v>
      </c>
      <c r="B149" s="13" t="s">
        <v>273</v>
      </c>
      <c r="C149" s="13" t="s">
        <v>274</v>
      </c>
      <c r="D149" s="13" t="s">
        <v>275</v>
      </c>
      <c r="E149" s="13" t="str">
        <f>INDEX(Sheet1!$E$23:$E$34,MATCH(A149,Sheet1!$D$23:$D$34,0))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49" s="13" t="s">
        <v>276</v>
      </c>
      <c r="H149" s="13" t="s">
        <v>37</v>
      </c>
      <c r="I149" s="13">
        <v>2023</v>
      </c>
      <c r="J149" s="19" t="s">
        <v>277</v>
      </c>
      <c r="K149" s="13" t="s">
        <v>283</v>
      </c>
      <c r="L149" s="16">
        <v>724646</v>
      </c>
      <c r="M149" s="16">
        <v>4932925</v>
      </c>
      <c r="O149" s="13" t="s">
        <v>282</v>
      </c>
      <c r="Q149" s="17">
        <v>6</v>
      </c>
      <c r="R149" s="13" t="s">
        <v>279</v>
      </c>
      <c r="Z149" s="13">
        <v>6</v>
      </c>
      <c r="AE149" s="13">
        <v>6</v>
      </c>
      <c r="AH149" s="13">
        <v>8.5</v>
      </c>
      <c r="AI149" s="18"/>
    </row>
    <row r="150" spans="1:35" x14ac:dyDescent="0.3">
      <c r="A150" s="14" t="s">
        <v>272</v>
      </c>
      <c r="B150" s="13" t="s">
        <v>273</v>
      </c>
      <c r="C150" s="13" t="s">
        <v>274</v>
      </c>
      <c r="D150" s="13" t="s">
        <v>275</v>
      </c>
      <c r="E150" s="13" t="str">
        <f>INDEX(Sheet1!$E$23:$E$34,MATCH(A150,Sheet1!$D$23:$D$34,0))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50" s="13" t="s">
        <v>276</v>
      </c>
      <c r="H150" s="13" t="s">
        <v>37</v>
      </c>
      <c r="I150" s="13">
        <v>2023</v>
      </c>
      <c r="J150" s="19" t="s">
        <v>277</v>
      </c>
      <c r="K150" s="13" t="s">
        <v>283</v>
      </c>
      <c r="L150" s="16">
        <v>724646</v>
      </c>
      <c r="M150" s="16">
        <v>4932925</v>
      </c>
      <c r="O150" s="13" t="s">
        <v>39</v>
      </c>
      <c r="P150" s="13" t="s">
        <v>280</v>
      </c>
      <c r="Q150" s="17">
        <v>7</v>
      </c>
      <c r="R150" s="13" t="s">
        <v>279</v>
      </c>
      <c r="Z150" s="13">
        <v>7</v>
      </c>
      <c r="AE150" s="13">
        <v>7</v>
      </c>
      <c r="AH150" s="13">
        <v>7</v>
      </c>
      <c r="AI150" s="18"/>
    </row>
    <row r="151" spans="1:35" x14ac:dyDescent="0.3">
      <c r="A151" s="14" t="s">
        <v>272</v>
      </c>
      <c r="B151" s="13" t="s">
        <v>273</v>
      </c>
      <c r="C151" s="13" t="s">
        <v>274</v>
      </c>
      <c r="D151" s="13" t="s">
        <v>275</v>
      </c>
      <c r="E151" s="13" t="str">
        <f>INDEX(Sheet1!$E$23:$E$34,MATCH(A151,Sheet1!$D$23:$D$34,0))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51" s="13" t="s">
        <v>276</v>
      </c>
      <c r="H151" s="13" t="s">
        <v>37</v>
      </c>
      <c r="I151" s="13">
        <v>2023</v>
      </c>
      <c r="J151" s="19" t="s">
        <v>277</v>
      </c>
      <c r="K151" s="13" t="s">
        <v>283</v>
      </c>
      <c r="L151" s="16">
        <v>724646</v>
      </c>
      <c r="M151" s="16">
        <v>4932925</v>
      </c>
      <c r="O151" s="13" t="s">
        <v>39</v>
      </c>
      <c r="P151" s="13" t="s">
        <v>280</v>
      </c>
      <c r="Q151" s="17">
        <v>8</v>
      </c>
      <c r="R151" s="13" t="s">
        <v>279</v>
      </c>
      <c r="Z151" s="13">
        <v>8</v>
      </c>
      <c r="AE151" s="13">
        <v>8</v>
      </c>
      <c r="AH151" s="13">
        <v>6</v>
      </c>
      <c r="AI151" s="18"/>
    </row>
    <row r="152" spans="1:35" x14ac:dyDescent="0.3">
      <c r="A152" s="14" t="s">
        <v>272</v>
      </c>
      <c r="B152" s="13" t="s">
        <v>273</v>
      </c>
      <c r="C152" s="13" t="s">
        <v>274</v>
      </c>
      <c r="D152" s="13" t="s">
        <v>275</v>
      </c>
      <c r="E152" s="13" t="str">
        <f>INDEX(Sheet1!$E$23:$E$34,MATCH(A152,Sheet1!$D$23:$D$34,0))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52" s="13" t="s">
        <v>276</v>
      </c>
      <c r="H152" s="13" t="s">
        <v>37</v>
      </c>
      <c r="I152" s="13">
        <v>2023</v>
      </c>
      <c r="J152" s="19" t="s">
        <v>277</v>
      </c>
      <c r="K152" s="13" t="s">
        <v>283</v>
      </c>
      <c r="L152" s="16">
        <v>724646</v>
      </c>
      <c r="M152" s="16">
        <v>4932925</v>
      </c>
      <c r="O152" s="13" t="s">
        <v>39</v>
      </c>
      <c r="P152" s="13" t="s">
        <v>280</v>
      </c>
      <c r="Q152" s="17">
        <v>9</v>
      </c>
      <c r="R152" s="13" t="s">
        <v>279</v>
      </c>
      <c r="Z152" s="13">
        <v>9</v>
      </c>
      <c r="AE152" s="13">
        <v>9</v>
      </c>
      <c r="AH152" s="13">
        <v>5.5</v>
      </c>
      <c r="AI152" s="18"/>
    </row>
    <row r="153" spans="1:35" x14ac:dyDescent="0.3">
      <c r="A153" s="14" t="s">
        <v>272</v>
      </c>
      <c r="B153" s="13" t="s">
        <v>273</v>
      </c>
      <c r="C153" s="13" t="s">
        <v>274</v>
      </c>
      <c r="D153" s="13" t="s">
        <v>275</v>
      </c>
      <c r="E153" s="13" t="str">
        <f>INDEX(Sheet1!$E$23:$E$34,MATCH(A153,Sheet1!$D$23:$D$34,0))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53" s="13" t="s">
        <v>276</v>
      </c>
      <c r="H153" s="13" t="s">
        <v>37</v>
      </c>
      <c r="I153" s="13">
        <v>2023</v>
      </c>
      <c r="J153" s="19" t="s">
        <v>277</v>
      </c>
      <c r="K153" s="13" t="s">
        <v>283</v>
      </c>
      <c r="L153" s="16">
        <v>724646</v>
      </c>
      <c r="M153" s="16">
        <v>4932925</v>
      </c>
      <c r="O153" s="13" t="s">
        <v>282</v>
      </c>
      <c r="Q153" s="17">
        <v>10</v>
      </c>
      <c r="R153" s="13" t="s">
        <v>279</v>
      </c>
      <c r="Z153" s="13">
        <v>10</v>
      </c>
      <c r="AE153" s="13">
        <v>10</v>
      </c>
      <c r="AH153" s="13">
        <v>6.5</v>
      </c>
      <c r="AI153" s="18"/>
    </row>
    <row r="154" spans="1:35" x14ac:dyDescent="0.3">
      <c r="A154" s="14" t="s">
        <v>272</v>
      </c>
      <c r="B154" s="13" t="s">
        <v>273</v>
      </c>
      <c r="C154" s="13" t="s">
        <v>274</v>
      </c>
      <c r="D154" s="13" t="s">
        <v>275</v>
      </c>
      <c r="E154" s="13" t="str">
        <f>INDEX(Sheet1!$E$23:$E$34,MATCH(A154,Sheet1!$D$23:$D$34,0))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54" s="13" t="s">
        <v>276</v>
      </c>
      <c r="H154" s="13" t="s">
        <v>37</v>
      </c>
      <c r="I154" s="13">
        <v>2023</v>
      </c>
      <c r="J154" s="19" t="s">
        <v>277</v>
      </c>
      <c r="K154" s="13" t="s">
        <v>284</v>
      </c>
      <c r="L154" s="16">
        <v>723532</v>
      </c>
      <c r="M154" s="16">
        <v>4933717</v>
      </c>
      <c r="O154" s="13" t="s">
        <v>39</v>
      </c>
      <c r="P154" s="13" t="s">
        <v>280</v>
      </c>
      <c r="Q154" s="17">
        <v>1</v>
      </c>
      <c r="R154" s="13" t="s">
        <v>279</v>
      </c>
      <c r="Z154" s="13">
        <v>1</v>
      </c>
      <c r="AE154" s="13">
        <v>1</v>
      </c>
      <c r="AH154" s="13">
        <v>28.5</v>
      </c>
      <c r="AI154" s="18"/>
    </row>
    <row r="155" spans="1:35" x14ac:dyDescent="0.3">
      <c r="A155" s="14" t="s">
        <v>272</v>
      </c>
      <c r="B155" s="13" t="s">
        <v>273</v>
      </c>
      <c r="C155" s="13" t="s">
        <v>274</v>
      </c>
      <c r="D155" s="13" t="s">
        <v>275</v>
      </c>
      <c r="E155" s="13" t="str">
        <f>INDEX(Sheet1!$E$23:$E$34,MATCH(A155,Sheet1!$D$23:$D$34,0))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55" s="13" t="s">
        <v>276</v>
      </c>
      <c r="H155" s="13" t="s">
        <v>37</v>
      </c>
      <c r="I155" s="13">
        <v>2023</v>
      </c>
      <c r="J155" s="19" t="s">
        <v>277</v>
      </c>
      <c r="K155" s="13" t="s">
        <v>284</v>
      </c>
      <c r="L155" s="16">
        <v>723532</v>
      </c>
      <c r="M155" s="16">
        <v>4933717</v>
      </c>
      <c r="O155" s="13" t="s">
        <v>39</v>
      </c>
      <c r="P155" s="13" t="s">
        <v>280</v>
      </c>
      <c r="Q155" s="17">
        <v>2</v>
      </c>
      <c r="R155" s="13" t="s">
        <v>279</v>
      </c>
      <c r="Z155" s="13">
        <v>2</v>
      </c>
      <c r="AE155" s="13">
        <v>2</v>
      </c>
      <c r="AH155" s="13">
        <v>22</v>
      </c>
      <c r="AI155" s="18"/>
    </row>
    <row r="156" spans="1:35" x14ac:dyDescent="0.3">
      <c r="A156" s="14" t="s">
        <v>272</v>
      </c>
      <c r="B156" s="13" t="s">
        <v>273</v>
      </c>
      <c r="C156" s="13" t="s">
        <v>274</v>
      </c>
      <c r="D156" s="13" t="s">
        <v>275</v>
      </c>
      <c r="E156" s="13" t="str">
        <f>INDEX(Sheet1!$E$23:$E$34,MATCH(A156,Sheet1!$D$23:$D$34,0))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56" s="13" t="s">
        <v>276</v>
      </c>
      <c r="H156" s="13" t="s">
        <v>37</v>
      </c>
      <c r="I156" s="13">
        <v>2023</v>
      </c>
      <c r="J156" s="19" t="s">
        <v>277</v>
      </c>
      <c r="K156" s="13" t="s">
        <v>284</v>
      </c>
      <c r="L156" s="16">
        <v>723532</v>
      </c>
      <c r="M156" s="16">
        <v>4933717</v>
      </c>
      <c r="O156" s="13" t="s">
        <v>39</v>
      </c>
      <c r="P156" s="13" t="s">
        <v>280</v>
      </c>
      <c r="Q156" s="17">
        <v>3</v>
      </c>
      <c r="R156" s="13" t="s">
        <v>279</v>
      </c>
      <c r="Z156" s="13">
        <v>3</v>
      </c>
      <c r="AE156" s="13">
        <v>3</v>
      </c>
      <c r="AH156" s="13">
        <v>14</v>
      </c>
      <c r="AI156" s="18"/>
    </row>
    <row r="157" spans="1:35" x14ac:dyDescent="0.3">
      <c r="A157" s="14" t="s">
        <v>272</v>
      </c>
      <c r="B157" s="13" t="s">
        <v>273</v>
      </c>
      <c r="C157" s="13" t="s">
        <v>274</v>
      </c>
      <c r="D157" s="13" t="s">
        <v>275</v>
      </c>
      <c r="E157" s="13" t="str">
        <f>INDEX(Sheet1!$E$23:$E$34,MATCH(A157,Sheet1!$D$23:$D$34,0))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57" s="13" t="s">
        <v>276</v>
      </c>
      <c r="H157" s="13" t="s">
        <v>37</v>
      </c>
      <c r="I157" s="13">
        <v>2023</v>
      </c>
      <c r="J157" s="19" t="s">
        <v>277</v>
      </c>
      <c r="K157" s="13" t="s">
        <v>284</v>
      </c>
      <c r="L157" s="16">
        <v>723532</v>
      </c>
      <c r="M157" s="16">
        <v>4933717</v>
      </c>
      <c r="O157" s="13" t="s">
        <v>282</v>
      </c>
      <c r="Q157" s="17">
        <v>4</v>
      </c>
      <c r="R157" s="13" t="s">
        <v>279</v>
      </c>
      <c r="Z157" s="13">
        <v>4</v>
      </c>
      <c r="AE157" s="13">
        <v>4</v>
      </c>
      <c r="AH157" s="13">
        <v>14</v>
      </c>
      <c r="AI157" s="18"/>
    </row>
    <row r="158" spans="1:35" x14ac:dyDescent="0.3">
      <c r="A158" s="14" t="s">
        <v>272</v>
      </c>
      <c r="B158" s="13" t="s">
        <v>273</v>
      </c>
      <c r="C158" s="13" t="s">
        <v>274</v>
      </c>
      <c r="D158" s="13" t="s">
        <v>275</v>
      </c>
      <c r="E158" s="13" t="str">
        <f>INDEX(Sheet1!$E$23:$E$34,MATCH(A158,Sheet1!$D$23:$D$34,0))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58" s="13" t="s">
        <v>276</v>
      </c>
      <c r="H158" s="13" t="s">
        <v>37</v>
      </c>
      <c r="I158" s="13">
        <v>2023</v>
      </c>
      <c r="J158" s="19" t="s">
        <v>277</v>
      </c>
      <c r="K158" s="13" t="s">
        <v>284</v>
      </c>
      <c r="L158" s="16">
        <v>723532</v>
      </c>
      <c r="M158" s="16">
        <v>4933717</v>
      </c>
      <c r="O158" s="13" t="s">
        <v>39</v>
      </c>
      <c r="P158" s="13" t="s">
        <v>280</v>
      </c>
      <c r="Q158" s="17">
        <v>5</v>
      </c>
      <c r="R158" s="13" t="s">
        <v>279</v>
      </c>
      <c r="Z158" s="13">
        <v>5</v>
      </c>
      <c r="AE158" s="13">
        <v>5</v>
      </c>
      <c r="AH158" s="13">
        <v>9</v>
      </c>
      <c r="AI158" s="18"/>
    </row>
    <row r="159" spans="1:35" x14ac:dyDescent="0.3">
      <c r="A159" s="14" t="s">
        <v>272</v>
      </c>
      <c r="B159" s="13" t="s">
        <v>273</v>
      </c>
      <c r="C159" s="13" t="s">
        <v>274</v>
      </c>
      <c r="D159" s="13" t="s">
        <v>275</v>
      </c>
      <c r="E159" s="13" t="str">
        <f>INDEX(Sheet1!$E$23:$E$34,MATCH(A159,Sheet1!$D$23:$D$34,0))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59" s="13" t="s">
        <v>276</v>
      </c>
      <c r="H159" s="13" t="s">
        <v>37</v>
      </c>
      <c r="I159" s="13">
        <v>2023</v>
      </c>
      <c r="J159" s="19" t="s">
        <v>277</v>
      </c>
      <c r="K159" s="13" t="s">
        <v>284</v>
      </c>
      <c r="L159" s="16">
        <v>723532</v>
      </c>
      <c r="M159" s="16">
        <v>4933717</v>
      </c>
      <c r="O159" s="13" t="s">
        <v>285</v>
      </c>
      <c r="P159" s="13" t="s">
        <v>86</v>
      </c>
      <c r="Q159" s="17">
        <v>6</v>
      </c>
      <c r="R159" s="13" t="s">
        <v>279</v>
      </c>
      <c r="Z159" s="13">
        <v>6</v>
      </c>
      <c r="AE159" s="13">
        <v>6</v>
      </c>
      <c r="AH159" s="13">
        <v>9.5</v>
      </c>
      <c r="AI159" s="18"/>
    </row>
    <row r="160" spans="1:35" x14ac:dyDescent="0.3">
      <c r="A160" s="14" t="s">
        <v>272</v>
      </c>
      <c r="B160" s="13" t="s">
        <v>273</v>
      </c>
      <c r="C160" s="13" t="s">
        <v>274</v>
      </c>
      <c r="D160" s="13" t="s">
        <v>275</v>
      </c>
      <c r="E160" s="13" t="str">
        <f>INDEX(Sheet1!$E$23:$E$34,MATCH(A160,Sheet1!$D$23:$D$34,0))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60" s="13" t="s">
        <v>276</v>
      </c>
      <c r="H160" s="13" t="s">
        <v>37</v>
      </c>
      <c r="I160" s="13">
        <v>2023</v>
      </c>
      <c r="J160" s="19" t="s">
        <v>277</v>
      </c>
      <c r="K160" s="13" t="s">
        <v>284</v>
      </c>
      <c r="L160" s="16">
        <v>723532</v>
      </c>
      <c r="M160" s="16">
        <v>4933717</v>
      </c>
      <c r="O160" s="13" t="s">
        <v>45</v>
      </c>
      <c r="P160" s="13" t="s">
        <v>168</v>
      </c>
      <c r="Q160" s="17">
        <v>7</v>
      </c>
      <c r="R160" s="13" t="s">
        <v>279</v>
      </c>
      <c r="Z160" s="13">
        <v>7</v>
      </c>
      <c r="AE160" s="13">
        <v>7</v>
      </c>
      <c r="AH160" s="13">
        <v>7.5</v>
      </c>
      <c r="AI160" s="18"/>
    </row>
    <row r="161" spans="1:35" x14ac:dyDescent="0.3">
      <c r="A161" s="14" t="s">
        <v>272</v>
      </c>
      <c r="B161" s="13" t="s">
        <v>273</v>
      </c>
      <c r="C161" s="13" t="s">
        <v>274</v>
      </c>
      <c r="D161" s="13" t="s">
        <v>275</v>
      </c>
      <c r="E161" s="13" t="str">
        <f>INDEX(Sheet1!$E$23:$E$34,MATCH(A161,Sheet1!$D$23:$D$34,0))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61" s="13" t="s">
        <v>276</v>
      </c>
      <c r="H161" s="13" t="s">
        <v>37</v>
      </c>
      <c r="I161" s="13">
        <v>2023</v>
      </c>
      <c r="J161" s="19" t="s">
        <v>277</v>
      </c>
      <c r="K161" s="13" t="s">
        <v>284</v>
      </c>
      <c r="L161" s="16">
        <v>723532</v>
      </c>
      <c r="M161" s="16">
        <v>4933717</v>
      </c>
      <c r="O161" s="13" t="s">
        <v>39</v>
      </c>
      <c r="P161" s="13" t="s">
        <v>280</v>
      </c>
      <c r="Q161" s="17">
        <v>8</v>
      </c>
      <c r="R161" s="13" t="s">
        <v>279</v>
      </c>
      <c r="Z161" s="13">
        <v>8</v>
      </c>
      <c r="AE161" s="13">
        <v>8</v>
      </c>
      <c r="AH161" s="13">
        <v>6.5</v>
      </c>
      <c r="AI161" s="18"/>
    </row>
    <row r="162" spans="1:35" x14ac:dyDescent="0.3">
      <c r="A162" s="14" t="s">
        <v>272</v>
      </c>
      <c r="B162" s="13" t="s">
        <v>273</v>
      </c>
      <c r="C162" s="13" t="s">
        <v>274</v>
      </c>
      <c r="D162" s="13" t="s">
        <v>275</v>
      </c>
      <c r="E162" s="13" t="str">
        <f>INDEX(Sheet1!$E$23:$E$34,MATCH(A162,Sheet1!$D$23:$D$34,0))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62" s="13" t="s">
        <v>276</v>
      </c>
      <c r="H162" s="13" t="s">
        <v>37</v>
      </c>
      <c r="I162" s="13">
        <v>2023</v>
      </c>
      <c r="J162" s="19" t="s">
        <v>277</v>
      </c>
      <c r="K162" s="13" t="s">
        <v>284</v>
      </c>
      <c r="L162" s="16">
        <v>723532</v>
      </c>
      <c r="M162" s="16">
        <v>4933717</v>
      </c>
      <c r="O162" s="13" t="s">
        <v>39</v>
      </c>
      <c r="P162" s="13" t="s">
        <v>280</v>
      </c>
      <c r="Q162" s="17">
        <v>9</v>
      </c>
      <c r="R162" s="13" t="s">
        <v>279</v>
      </c>
      <c r="Z162" s="13">
        <v>9</v>
      </c>
      <c r="AE162" s="13">
        <v>9</v>
      </c>
      <c r="AH162" s="13">
        <v>6.5</v>
      </c>
      <c r="AI162" s="18"/>
    </row>
    <row r="163" spans="1:35" x14ac:dyDescent="0.3">
      <c r="A163" s="14" t="s">
        <v>272</v>
      </c>
      <c r="B163" s="13" t="s">
        <v>273</v>
      </c>
      <c r="C163" s="13" t="s">
        <v>274</v>
      </c>
      <c r="D163" s="13" t="s">
        <v>275</v>
      </c>
      <c r="E163" s="13" t="str">
        <f>INDEX(Sheet1!$E$23:$E$34,MATCH(A163,Sheet1!$D$23:$D$34,0))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63" s="13" t="s">
        <v>276</v>
      </c>
      <c r="H163" s="13" t="s">
        <v>37</v>
      </c>
      <c r="I163" s="13">
        <v>2023</v>
      </c>
      <c r="J163" s="19" t="s">
        <v>277</v>
      </c>
      <c r="K163" s="13" t="s">
        <v>284</v>
      </c>
      <c r="L163" s="16">
        <v>723532</v>
      </c>
      <c r="M163" s="16">
        <v>4933717</v>
      </c>
      <c r="O163" s="13" t="s">
        <v>39</v>
      </c>
      <c r="P163" s="13" t="s">
        <v>280</v>
      </c>
      <c r="Q163" s="17">
        <v>10</v>
      </c>
      <c r="R163" s="13" t="s">
        <v>279</v>
      </c>
      <c r="Z163" s="13">
        <v>10</v>
      </c>
      <c r="AE163" s="13">
        <v>10</v>
      </c>
      <c r="AH163" s="13">
        <v>6</v>
      </c>
      <c r="AI163" s="18"/>
    </row>
    <row r="164" spans="1:35" x14ac:dyDescent="0.3">
      <c r="A164" s="14" t="s">
        <v>272</v>
      </c>
      <c r="B164" s="13" t="s">
        <v>273</v>
      </c>
      <c r="C164" s="13" t="s">
        <v>274</v>
      </c>
      <c r="D164" s="13" t="s">
        <v>275</v>
      </c>
      <c r="E164" s="13" t="str">
        <f>INDEX(Sheet1!$E$23:$E$34,MATCH(A164,Sheet1!$D$23:$D$34,0))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64" s="13" t="s">
        <v>276</v>
      </c>
      <c r="H164" s="13" t="s">
        <v>37</v>
      </c>
      <c r="I164" s="13">
        <v>2023</v>
      </c>
      <c r="J164" s="19" t="s">
        <v>277</v>
      </c>
      <c r="K164" s="13" t="s">
        <v>284</v>
      </c>
      <c r="L164" s="16">
        <v>723532</v>
      </c>
      <c r="M164" s="16">
        <v>4933717</v>
      </c>
      <c r="O164" s="13" t="s">
        <v>45</v>
      </c>
      <c r="P164" s="13" t="s">
        <v>168</v>
      </c>
      <c r="Q164" s="17">
        <v>11</v>
      </c>
      <c r="R164" s="13" t="s">
        <v>279</v>
      </c>
      <c r="Z164" s="13">
        <v>11</v>
      </c>
      <c r="AE164" s="13">
        <v>11</v>
      </c>
      <c r="AH164" s="13">
        <v>6.5</v>
      </c>
      <c r="AI164" s="18"/>
    </row>
    <row r="165" spans="1:35" x14ac:dyDescent="0.3">
      <c r="A165" s="14" t="s">
        <v>272</v>
      </c>
      <c r="B165" s="13" t="s">
        <v>273</v>
      </c>
      <c r="C165" s="13" t="s">
        <v>274</v>
      </c>
      <c r="D165" s="13" t="s">
        <v>275</v>
      </c>
      <c r="E165" s="13" t="str">
        <f>INDEX(Sheet1!$E$23:$E$34,MATCH(A165,Sheet1!$D$23:$D$34,0))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65" s="13" t="s">
        <v>276</v>
      </c>
      <c r="H165" s="13" t="s">
        <v>37</v>
      </c>
      <c r="I165" s="13">
        <v>2023</v>
      </c>
      <c r="J165" s="19" t="s">
        <v>277</v>
      </c>
      <c r="K165" s="13" t="s">
        <v>286</v>
      </c>
      <c r="L165" s="16">
        <v>722816</v>
      </c>
      <c r="M165" s="16">
        <v>4933298</v>
      </c>
      <c r="O165" s="13" t="s">
        <v>39</v>
      </c>
      <c r="P165" s="13" t="s">
        <v>280</v>
      </c>
      <c r="Q165" s="17">
        <v>1</v>
      </c>
      <c r="R165" s="13" t="s">
        <v>279</v>
      </c>
      <c r="Z165" s="13">
        <v>1</v>
      </c>
      <c r="AE165" s="13">
        <v>1</v>
      </c>
      <c r="AH165" s="13">
        <v>43</v>
      </c>
      <c r="AI165" s="18"/>
    </row>
    <row r="166" spans="1:35" x14ac:dyDescent="0.3">
      <c r="A166" s="14" t="s">
        <v>272</v>
      </c>
      <c r="B166" s="13" t="s">
        <v>273</v>
      </c>
      <c r="C166" s="13" t="s">
        <v>274</v>
      </c>
      <c r="D166" s="13" t="s">
        <v>275</v>
      </c>
      <c r="E166" s="13" t="str">
        <f>INDEX(Sheet1!$E$23:$E$34,MATCH(A166,Sheet1!$D$23:$D$34,0))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66" s="13" t="s">
        <v>276</v>
      </c>
      <c r="H166" s="13" t="s">
        <v>37</v>
      </c>
      <c r="I166" s="13">
        <v>2023</v>
      </c>
      <c r="J166" s="19" t="s">
        <v>277</v>
      </c>
      <c r="K166" s="13" t="s">
        <v>286</v>
      </c>
      <c r="L166" s="16">
        <v>722816</v>
      </c>
      <c r="M166" s="16">
        <v>4933298</v>
      </c>
      <c r="O166" s="13" t="s">
        <v>45</v>
      </c>
      <c r="P166" s="13" t="s">
        <v>168</v>
      </c>
      <c r="Q166" s="17">
        <v>2</v>
      </c>
      <c r="R166" s="13" t="s">
        <v>279</v>
      </c>
      <c r="Z166" s="13">
        <v>2</v>
      </c>
      <c r="AE166" s="13">
        <v>2</v>
      </c>
      <c r="AH166" s="13">
        <v>30</v>
      </c>
      <c r="AI166" s="18"/>
    </row>
    <row r="167" spans="1:35" x14ac:dyDescent="0.3">
      <c r="A167" s="14" t="s">
        <v>272</v>
      </c>
      <c r="B167" s="13" t="s">
        <v>273</v>
      </c>
      <c r="C167" s="13" t="s">
        <v>274</v>
      </c>
      <c r="D167" s="13" t="s">
        <v>275</v>
      </c>
      <c r="E167" s="13" t="str">
        <f>INDEX(Sheet1!$E$23:$E$34,MATCH(A167,Sheet1!$D$23:$D$34,0))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67" s="13" t="s">
        <v>276</v>
      </c>
      <c r="H167" s="13" t="s">
        <v>37</v>
      </c>
      <c r="I167" s="13">
        <v>2023</v>
      </c>
      <c r="J167" s="19" t="s">
        <v>277</v>
      </c>
      <c r="K167" s="13" t="s">
        <v>286</v>
      </c>
      <c r="L167" s="16">
        <v>722816</v>
      </c>
      <c r="M167" s="16">
        <v>4933298</v>
      </c>
      <c r="O167" s="13" t="s">
        <v>45</v>
      </c>
      <c r="P167" s="13" t="s">
        <v>168</v>
      </c>
      <c r="Q167" s="17">
        <v>3</v>
      </c>
      <c r="R167" s="13" t="s">
        <v>279</v>
      </c>
      <c r="Z167" s="13">
        <v>3</v>
      </c>
      <c r="AE167" s="13">
        <v>3</v>
      </c>
      <c r="AH167" s="13">
        <v>18</v>
      </c>
      <c r="AI167" s="18"/>
    </row>
    <row r="168" spans="1:35" x14ac:dyDescent="0.3">
      <c r="A168" s="14" t="s">
        <v>272</v>
      </c>
      <c r="B168" s="13" t="s">
        <v>273</v>
      </c>
      <c r="C168" s="13" t="s">
        <v>274</v>
      </c>
      <c r="D168" s="13" t="s">
        <v>275</v>
      </c>
      <c r="E168" s="13" t="str">
        <f>INDEX(Sheet1!$E$23:$E$34,MATCH(A168,Sheet1!$D$23:$D$34,0))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68" s="13" t="s">
        <v>276</v>
      </c>
      <c r="H168" s="13" t="s">
        <v>37</v>
      </c>
      <c r="I168" s="13">
        <v>2023</v>
      </c>
      <c r="J168" s="19" t="s">
        <v>277</v>
      </c>
      <c r="K168" s="13" t="s">
        <v>286</v>
      </c>
      <c r="L168" s="16">
        <v>722816</v>
      </c>
      <c r="M168" s="16">
        <v>4933298</v>
      </c>
      <c r="O168" s="13" t="s">
        <v>39</v>
      </c>
      <c r="P168" s="13" t="s">
        <v>280</v>
      </c>
      <c r="Q168" s="17">
        <v>4</v>
      </c>
      <c r="R168" s="13" t="s">
        <v>279</v>
      </c>
      <c r="Z168" s="13">
        <v>4</v>
      </c>
      <c r="AE168" s="13">
        <v>4</v>
      </c>
      <c r="AH168" s="13">
        <v>17</v>
      </c>
      <c r="AI168" s="18"/>
    </row>
    <row r="169" spans="1:35" x14ac:dyDescent="0.3">
      <c r="A169" s="14" t="s">
        <v>272</v>
      </c>
      <c r="B169" s="13" t="s">
        <v>273</v>
      </c>
      <c r="C169" s="13" t="s">
        <v>274</v>
      </c>
      <c r="D169" s="13" t="s">
        <v>275</v>
      </c>
      <c r="E169" s="13" t="str">
        <f>INDEX(Sheet1!$E$23:$E$34,MATCH(A169,Sheet1!$D$23:$D$34,0))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69" s="13" t="s">
        <v>276</v>
      </c>
      <c r="H169" s="13" t="s">
        <v>37</v>
      </c>
      <c r="I169" s="13">
        <v>2023</v>
      </c>
      <c r="J169" s="19" t="s">
        <v>277</v>
      </c>
      <c r="K169" s="13" t="s">
        <v>286</v>
      </c>
      <c r="L169" s="16">
        <v>722816</v>
      </c>
      <c r="M169" s="16">
        <v>4933298</v>
      </c>
      <c r="O169" s="13" t="s">
        <v>285</v>
      </c>
      <c r="P169" s="13" t="s">
        <v>86</v>
      </c>
      <c r="Q169" s="17">
        <v>5</v>
      </c>
      <c r="R169" s="13" t="s">
        <v>279</v>
      </c>
      <c r="Z169" s="13">
        <v>5</v>
      </c>
      <c r="AE169" s="13">
        <v>5</v>
      </c>
      <c r="AH169" s="13">
        <v>10.5</v>
      </c>
      <c r="AI169" s="18"/>
    </row>
    <row r="170" spans="1:35" x14ac:dyDescent="0.3">
      <c r="A170" s="14" t="s">
        <v>272</v>
      </c>
      <c r="B170" s="13" t="s">
        <v>273</v>
      </c>
      <c r="C170" s="13" t="s">
        <v>274</v>
      </c>
      <c r="D170" s="13" t="s">
        <v>275</v>
      </c>
      <c r="E170" s="13" t="str">
        <f>INDEX(Sheet1!$E$23:$E$34,MATCH(A170,Sheet1!$D$23:$D$34,0))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70" s="13" t="s">
        <v>276</v>
      </c>
      <c r="H170" s="13" t="s">
        <v>37</v>
      </c>
      <c r="I170" s="13">
        <v>2023</v>
      </c>
      <c r="J170" s="19" t="s">
        <v>277</v>
      </c>
      <c r="K170" s="13" t="s">
        <v>286</v>
      </c>
      <c r="L170" s="16">
        <v>722816</v>
      </c>
      <c r="M170" s="16">
        <v>4933298</v>
      </c>
      <c r="O170" s="13" t="s">
        <v>285</v>
      </c>
      <c r="P170" s="13" t="s">
        <v>86</v>
      </c>
      <c r="Q170" s="17">
        <v>6</v>
      </c>
      <c r="R170" s="13" t="s">
        <v>279</v>
      </c>
      <c r="Z170" s="13">
        <v>6</v>
      </c>
      <c r="AE170" s="13">
        <v>6</v>
      </c>
      <c r="AH170" s="13">
        <v>7.5</v>
      </c>
      <c r="AI170" s="18"/>
    </row>
    <row r="171" spans="1:35" x14ac:dyDescent="0.3">
      <c r="A171" s="14" t="s">
        <v>272</v>
      </c>
      <c r="B171" s="13" t="s">
        <v>273</v>
      </c>
      <c r="C171" s="13" t="s">
        <v>274</v>
      </c>
      <c r="D171" s="13" t="s">
        <v>275</v>
      </c>
      <c r="E171" s="13" t="str">
        <f>INDEX(Sheet1!$E$23:$E$34,MATCH(A171,Sheet1!$D$23:$D$34,0))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71" s="13" t="s">
        <v>276</v>
      </c>
      <c r="H171" s="13" t="s">
        <v>37</v>
      </c>
      <c r="I171" s="13">
        <v>2023</v>
      </c>
      <c r="J171" s="19" t="s">
        <v>277</v>
      </c>
      <c r="K171" s="13" t="s">
        <v>286</v>
      </c>
      <c r="L171" s="16">
        <v>722816</v>
      </c>
      <c r="M171" s="16">
        <v>4933298</v>
      </c>
      <c r="O171" s="13" t="s">
        <v>285</v>
      </c>
      <c r="P171" s="13" t="s">
        <v>86</v>
      </c>
      <c r="Q171" s="17">
        <v>7</v>
      </c>
      <c r="R171" s="13" t="s">
        <v>279</v>
      </c>
      <c r="Z171" s="13">
        <v>7</v>
      </c>
      <c r="AE171" s="13">
        <v>7</v>
      </c>
      <c r="AH171" s="13">
        <v>9</v>
      </c>
      <c r="AI171" s="18"/>
    </row>
    <row r="172" spans="1:35" x14ac:dyDescent="0.3">
      <c r="A172" s="14" t="s">
        <v>272</v>
      </c>
      <c r="B172" s="13" t="s">
        <v>273</v>
      </c>
      <c r="C172" s="13" t="s">
        <v>274</v>
      </c>
      <c r="D172" s="13" t="s">
        <v>275</v>
      </c>
      <c r="E172" s="13" t="str">
        <f>INDEX(Sheet1!$E$23:$E$34,MATCH(A172,Sheet1!$D$23:$D$34,0))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72" s="13" t="s">
        <v>276</v>
      </c>
      <c r="H172" s="13" t="s">
        <v>37</v>
      </c>
      <c r="I172" s="13">
        <v>2023</v>
      </c>
      <c r="J172" s="19" t="s">
        <v>277</v>
      </c>
      <c r="K172" s="13" t="s">
        <v>286</v>
      </c>
      <c r="L172" s="16">
        <v>722816</v>
      </c>
      <c r="M172" s="16">
        <v>4933298</v>
      </c>
      <c r="O172" s="13" t="s">
        <v>45</v>
      </c>
      <c r="P172" s="13" t="s">
        <v>168</v>
      </c>
      <c r="Q172" s="17">
        <v>8</v>
      </c>
      <c r="R172" s="13" t="s">
        <v>279</v>
      </c>
      <c r="Z172" s="13">
        <v>8</v>
      </c>
      <c r="AE172" s="13">
        <v>8</v>
      </c>
      <c r="AH172" s="13">
        <v>7</v>
      </c>
      <c r="AI172" s="18"/>
    </row>
    <row r="173" spans="1:35" x14ac:dyDescent="0.3">
      <c r="A173" s="14" t="s">
        <v>272</v>
      </c>
      <c r="B173" s="13" t="s">
        <v>273</v>
      </c>
      <c r="C173" s="13" t="s">
        <v>274</v>
      </c>
      <c r="D173" s="13" t="s">
        <v>275</v>
      </c>
      <c r="E173" s="13" t="str">
        <f>INDEX(Sheet1!$E$23:$E$34,MATCH(A173,Sheet1!$D$23:$D$34,0))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73" s="13" t="s">
        <v>276</v>
      </c>
      <c r="H173" s="13" t="s">
        <v>37</v>
      </c>
      <c r="I173" s="13">
        <v>2023</v>
      </c>
      <c r="J173" s="19" t="s">
        <v>277</v>
      </c>
      <c r="K173" s="13" t="s">
        <v>286</v>
      </c>
      <c r="L173" s="16">
        <v>722816</v>
      </c>
      <c r="M173" s="16">
        <v>4933298</v>
      </c>
      <c r="O173" s="13" t="s">
        <v>39</v>
      </c>
      <c r="P173" s="13" t="s">
        <v>280</v>
      </c>
      <c r="Q173" s="17">
        <v>9</v>
      </c>
      <c r="R173" s="13" t="s">
        <v>279</v>
      </c>
      <c r="Z173" s="13">
        <v>9</v>
      </c>
      <c r="AE173" s="13">
        <v>9</v>
      </c>
      <c r="AH173" s="13">
        <v>7</v>
      </c>
      <c r="AI173" s="18"/>
    </row>
    <row r="174" spans="1:35" x14ac:dyDescent="0.3">
      <c r="A174" s="14" t="s">
        <v>272</v>
      </c>
      <c r="B174" s="13" t="s">
        <v>273</v>
      </c>
      <c r="C174" s="13" t="s">
        <v>274</v>
      </c>
      <c r="D174" s="13" t="s">
        <v>275</v>
      </c>
      <c r="E174" s="13" t="str">
        <f>INDEX(Sheet1!$E$23:$E$34,MATCH(A174,Sheet1!$D$23:$D$34,0))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74" s="13" t="s">
        <v>276</v>
      </c>
      <c r="H174" s="13" t="s">
        <v>37</v>
      </c>
      <c r="I174" s="13">
        <v>2023</v>
      </c>
      <c r="J174" s="19" t="s">
        <v>277</v>
      </c>
      <c r="K174" s="13" t="s">
        <v>286</v>
      </c>
      <c r="L174" s="16">
        <v>722816</v>
      </c>
      <c r="M174" s="16">
        <v>4933298</v>
      </c>
      <c r="O174" s="13" t="s">
        <v>39</v>
      </c>
      <c r="P174" s="13" t="s">
        <v>280</v>
      </c>
      <c r="Q174" s="17">
        <v>10</v>
      </c>
      <c r="R174" s="13" t="s">
        <v>279</v>
      </c>
      <c r="Z174" s="13">
        <v>10</v>
      </c>
      <c r="AE174" s="13">
        <v>10</v>
      </c>
      <c r="AH174" s="13">
        <v>9</v>
      </c>
      <c r="AI174" s="18"/>
    </row>
    <row r="175" spans="1:35" x14ac:dyDescent="0.3">
      <c r="A175" s="14" t="s">
        <v>272</v>
      </c>
      <c r="B175" s="13" t="s">
        <v>273</v>
      </c>
      <c r="C175" s="13" t="s">
        <v>274</v>
      </c>
      <c r="D175" s="13" t="s">
        <v>275</v>
      </c>
      <c r="E175" s="13" t="str">
        <f>INDEX(Sheet1!$E$23:$E$34,MATCH(A175,Sheet1!$D$23:$D$34,0))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75" s="13" t="s">
        <v>276</v>
      </c>
      <c r="H175" s="13" t="s">
        <v>37</v>
      </c>
      <c r="I175" s="13">
        <v>2023</v>
      </c>
      <c r="J175" s="19" t="s">
        <v>277</v>
      </c>
      <c r="K175" s="13" t="s">
        <v>286</v>
      </c>
      <c r="L175" s="16">
        <v>722816</v>
      </c>
      <c r="M175" s="16">
        <v>4933298</v>
      </c>
      <c r="O175" s="13" t="s">
        <v>39</v>
      </c>
      <c r="P175" s="13" t="s">
        <v>280</v>
      </c>
      <c r="Q175" s="17">
        <v>11</v>
      </c>
      <c r="R175" s="13" t="s">
        <v>279</v>
      </c>
      <c r="Z175" s="13">
        <v>11</v>
      </c>
      <c r="AE175" s="13">
        <v>11</v>
      </c>
      <c r="AH175" s="13">
        <v>7</v>
      </c>
      <c r="AI175" s="18"/>
    </row>
    <row r="176" spans="1:35" x14ac:dyDescent="0.3">
      <c r="A176" s="14" t="s">
        <v>272</v>
      </c>
      <c r="B176" s="13" t="s">
        <v>273</v>
      </c>
      <c r="C176" s="13" t="s">
        <v>274</v>
      </c>
      <c r="D176" s="13" t="s">
        <v>275</v>
      </c>
      <c r="E176" s="13" t="str">
        <f>INDEX(Sheet1!$E$23:$E$34,MATCH(A176,Sheet1!$D$23:$D$34,0))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76" s="13" t="s">
        <v>276</v>
      </c>
      <c r="H176" s="13" t="s">
        <v>37</v>
      </c>
      <c r="I176" s="13">
        <v>2023</v>
      </c>
      <c r="J176" s="19" t="s">
        <v>277</v>
      </c>
      <c r="K176" s="13" t="s">
        <v>286</v>
      </c>
      <c r="L176" s="16">
        <v>722816</v>
      </c>
      <c r="M176" s="16">
        <v>4933298</v>
      </c>
      <c r="O176" s="13" t="s">
        <v>39</v>
      </c>
      <c r="P176" s="13" t="s">
        <v>280</v>
      </c>
      <c r="Q176" s="17">
        <v>12</v>
      </c>
      <c r="R176" s="13" t="s">
        <v>279</v>
      </c>
      <c r="Z176" s="13">
        <v>12</v>
      </c>
      <c r="AE176" s="13">
        <v>12</v>
      </c>
      <c r="AH176" s="13">
        <v>7.5</v>
      </c>
      <c r="AI176" s="18"/>
    </row>
    <row r="177" spans="1:35" x14ac:dyDescent="0.3">
      <c r="A177" s="14" t="s">
        <v>272</v>
      </c>
      <c r="B177" s="13" t="s">
        <v>273</v>
      </c>
      <c r="C177" s="13" t="s">
        <v>274</v>
      </c>
      <c r="D177" s="13" t="s">
        <v>275</v>
      </c>
      <c r="E177" s="13" t="str">
        <f>INDEX(Sheet1!$E$23:$E$34,MATCH(A177,Sheet1!$D$23:$D$34,0))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77" s="13" t="s">
        <v>276</v>
      </c>
      <c r="H177" s="13" t="s">
        <v>37</v>
      </c>
      <c r="I177" s="13">
        <v>2023</v>
      </c>
      <c r="J177" s="19" t="s">
        <v>277</v>
      </c>
      <c r="K177" s="13" t="s">
        <v>287</v>
      </c>
      <c r="L177" s="16">
        <v>720229</v>
      </c>
      <c r="M177" s="16">
        <v>4936580</v>
      </c>
      <c r="O177" s="13" t="s">
        <v>285</v>
      </c>
      <c r="P177" s="13" t="s">
        <v>86</v>
      </c>
      <c r="Q177" s="17">
        <v>1</v>
      </c>
      <c r="R177" s="13" t="s">
        <v>279</v>
      </c>
      <c r="Z177" s="13">
        <v>1</v>
      </c>
      <c r="AE177" s="13">
        <v>1</v>
      </c>
      <c r="AH177" s="13">
        <v>10.5</v>
      </c>
      <c r="AI177" s="18"/>
    </row>
    <row r="178" spans="1:35" x14ac:dyDescent="0.3">
      <c r="A178" s="14" t="s">
        <v>272</v>
      </c>
      <c r="B178" s="13" t="s">
        <v>273</v>
      </c>
      <c r="C178" s="13" t="s">
        <v>274</v>
      </c>
      <c r="D178" s="13" t="s">
        <v>275</v>
      </c>
      <c r="E178" s="13" t="str">
        <f>INDEX(Sheet1!$E$23:$E$34,MATCH(A178,Sheet1!$D$23:$D$34,0))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78" s="13" t="s">
        <v>276</v>
      </c>
      <c r="H178" s="13" t="s">
        <v>37</v>
      </c>
      <c r="I178" s="13">
        <v>2023</v>
      </c>
      <c r="J178" s="19" t="s">
        <v>277</v>
      </c>
      <c r="K178" s="13" t="s">
        <v>287</v>
      </c>
      <c r="L178" s="16">
        <v>720229</v>
      </c>
      <c r="M178" s="16">
        <v>4936580</v>
      </c>
      <c r="O178" s="13" t="s">
        <v>39</v>
      </c>
      <c r="P178" s="13" t="s">
        <v>280</v>
      </c>
      <c r="Q178" s="17">
        <v>2</v>
      </c>
      <c r="R178" s="13" t="s">
        <v>279</v>
      </c>
      <c r="Z178" s="13">
        <v>2</v>
      </c>
      <c r="AE178" s="13">
        <v>2</v>
      </c>
      <c r="AH178" s="13">
        <v>6.5</v>
      </c>
      <c r="AI178" s="18"/>
    </row>
    <row r="179" spans="1:35" x14ac:dyDescent="0.3">
      <c r="A179" s="14" t="s">
        <v>272</v>
      </c>
      <c r="B179" s="13" t="s">
        <v>273</v>
      </c>
      <c r="C179" s="13" t="s">
        <v>274</v>
      </c>
      <c r="D179" s="13" t="s">
        <v>275</v>
      </c>
      <c r="E179" s="13" t="str">
        <f>INDEX(Sheet1!$E$23:$E$34,MATCH(A179,Sheet1!$D$23:$D$34,0))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79" s="13" t="s">
        <v>276</v>
      </c>
      <c r="H179" s="13" t="s">
        <v>37</v>
      </c>
      <c r="I179" s="13">
        <v>2023</v>
      </c>
      <c r="J179" s="19" t="s">
        <v>277</v>
      </c>
      <c r="K179" s="13" t="s">
        <v>287</v>
      </c>
      <c r="L179" s="16">
        <v>720229</v>
      </c>
      <c r="M179" s="16">
        <v>4936580</v>
      </c>
      <c r="O179" s="13" t="s">
        <v>282</v>
      </c>
      <c r="Q179" s="17">
        <v>3</v>
      </c>
      <c r="R179" s="13" t="s">
        <v>279</v>
      </c>
      <c r="Z179" s="13">
        <v>3</v>
      </c>
      <c r="AE179" s="13">
        <v>3</v>
      </c>
      <c r="AH179" s="13">
        <v>9.5</v>
      </c>
      <c r="AI179" s="18"/>
    </row>
    <row r="180" spans="1:35" x14ac:dyDescent="0.3">
      <c r="A180" s="14" t="s">
        <v>272</v>
      </c>
      <c r="B180" s="13" t="s">
        <v>273</v>
      </c>
      <c r="C180" s="13" t="s">
        <v>274</v>
      </c>
      <c r="D180" s="13" t="s">
        <v>275</v>
      </c>
      <c r="E180" s="13" t="str">
        <f>INDEX(Sheet1!$E$23:$E$34,MATCH(A180,Sheet1!$D$23:$D$34,0))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80" s="13" t="s">
        <v>276</v>
      </c>
      <c r="H180" s="13" t="s">
        <v>37</v>
      </c>
      <c r="I180" s="13">
        <v>2023</v>
      </c>
      <c r="J180" s="19" t="s">
        <v>277</v>
      </c>
      <c r="K180" s="13" t="s">
        <v>287</v>
      </c>
      <c r="L180" s="16">
        <v>720229</v>
      </c>
      <c r="M180" s="16">
        <v>4936580</v>
      </c>
      <c r="O180" s="13" t="s">
        <v>39</v>
      </c>
      <c r="P180" s="13" t="s">
        <v>280</v>
      </c>
      <c r="Q180" s="17">
        <v>4</v>
      </c>
      <c r="R180" s="13" t="s">
        <v>279</v>
      </c>
      <c r="Z180" s="13">
        <v>4</v>
      </c>
      <c r="AE180" s="13">
        <v>4</v>
      </c>
      <c r="AH180" s="13">
        <v>5</v>
      </c>
      <c r="AI180" s="18"/>
    </row>
    <row r="181" spans="1:35" x14ac:dyDescent="0.3">
      <c r="A181" s="14" t="s">
        <v>272</v>
      </c>
      <c r="B181" s="13" t="s">
        <v>273</v>
      </c>
      <c r="C181" s="13" t="s">
        <v>274</v>
      </c>
      <c r="D181" s="13" t="s">
        <v>275</v>
      </c>
      <c r="E181" s="13" t="str">
        <f>INDEX(Sheet1!$E$23:$E$34,MATCH(A181,Sheet1!$D$23:$D$34,0))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81" s="13" t="s">
        <v>276</v>
      </c>
      <c r="H181" s="13" t="s">
        <v>37</v>
      </c>
      <c r="I181" s="13">
        <v>2023</v>
      </c>
      <c r="J181" s="19" t="s">
        <v>277</v>
      </c>
      <c r="K181" s="13" t="s">
        <v>287</v>
      </c>
      <c r="L181" s="16">
        <v>720229</v>
      </c>
      <c r="M181" s="16">
        <v>4936580</v>
      </c>
      <c r="O181" s="13" t="s">
        <v>45</v>
      </c>
      <c r="P181" s="13" t="s">
        <v>168</v>
      </c>
      <c r="Q181" s="17">
        <v>5</v>
      </c>
      <c r="R181" s="13" t="s">
        <v>279</v>
      </c>
      <c r="Z181" s="13">
        <v>5</v>
      </c>
      <c r="AE181" s="13">
        <v>5</v>
      </c>
      <c r="AH181" s="13">
        <v>6.5</v>
      </c>
      <c r="AI181" s="18"/>
    </row>
    <row r="182" spans="1:35" x14ac:dyDescent="0.3">
      <c r="A182" s="14" t="s">
        <v>272</v>
      </c>
      <c r="B182" s="13" t="s">
        <v>273</v>
      </c>
      <c r="C182" s="13" t="s">
        <v>274</v>
      </c>
      <c r="D182" s="13" t="s">
        <v>275</v>
      </c>
      <c r="E182" s="13" t="str">
        <f>INDEX(Sheet1!$E$23:$E$34,MATCH(A182,Sheet1!$D$23:$D$34,0))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82" s="13" t="s">
        <v>276</v>
      </c>
      <c r="H182" s="13" t="s">
        <v>37</v>
      </c>
      <c r="I182" s="13">
        <v>2023</v>
      </c>
      <c r="J182" s="19" t="s">
        <v>277</v>
      </c>
      <c r="K182" s="13" t="s">
        <v>287</v>
      </c>
      <c r="L182" s="16">
        <v>720229</v>
      </c>
      <c r="M182" s="16">
        <v>4936580</v>
      </c>
      <c r="O182" s="13" t="s">
        <v>39</v>
      </c>
      <c r="P182" s="13" t="s">
        <v>280</v>
      </c>
      <c r="Q182" s="17">
        <v>6</v>
      </c>
      <c r="R182" s="13" t="s">
        <v>279</v>
      </c>
      <c r="Z182" s="13">
        <v>6</v>
      </c>
      <c r="AE182" s="13">
        <v>6</v>
      </c>
      <c r="AH182" s="13">
        <v>7</v>
      </c>
      <c r="AI182" s="18"/>
    </row>
    <row r="183" spans="1:35" x14ac:dyDescent="0.3">
      <c r="A183" s="14" t="s">
        <v>272</v>
      </c>
      <c r="B183" s="13" t="s">
        <v>273</v>
      </c>
      <c r="C183" s="13" t="s">
        <v>274</v>
      </c>
      <c r="D183" s="13" t="s">
        <v>275</v>
      </c>
      <c r="E183" s="13" t="str">
        <f>INDEX(Sheet1!$E$23:$E$34,MATCH(A183,Sheet1!$D$23:$D$34,0))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83" s="13" t="s">
        <v>276</v>
      </c>
      <c r="H183" s="13" t="s">
        <v>37</v>
      </c>
      <c r="I183" s="13">
        <v>2023</v>
      </c>
      <c r="J183" s="19" t="s">
        <v>277</v>
      </c>
      <c r="K183" s="13" t="s">
        <v>287</v>
      </c>
      <c r="L183" s="16">
        <v>720229</v>
      </c>
      <c r="M183" s="16">
        <v>4936580</v>
      </c>
      <c r="O183" s="13" t="s">
        <v>39</v>
      </c>
      <c r="P183" s="13" t="s">
        <v>280</v>
      </c>
      <c r="Q183" s="17">
        <v>7</v>
      </c>
      <c r="R183" s="13" t="s">
        <v>279</v>
      </c>
      <c r="Z183" s="13">
        <v>7</v>
      </c>
      <c r="AE183" s="13">
        <v>7</v>
      </c>
      <c r="AH183" s="13">
        <v>5.5</v>
      </c>
      <c r="AI183" s="18"/>
    </row>
    <row r="184" spans="1:35" x14ac:dyDescent="0.3">
      <c r="A184" s="14" t="s">
        <v>272</v>
      </c>
      <c r="B184" s="13" t="s">
        <v>273</v>
      </c>
      <c r="C184" s="13" t="s">
        <v>274</v>
      </c>
      <c r="D184" s="13" t="s">
        <v>275</v>
      </c>
      <c r="E184" s="13" t="str">
        <f>INDEX(Sheet1!$E$23:$E$34,MATCH(A184,Sheet1!$D$23:$D$34,0))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84" s="13" t="s">
        <v>276</v>
      </c>
      <c r="H184" s="13" t="s">
        <v>37</v>
      </c>
      <c r="I184" s="13">
        <v>2023</v>
      </c>
      <c r="J184" s="19" t="s">
        <v>277</v>
      </c>
      <c r="K184" s="13" t="s">
        <v>287</v>
      </c>
      <c r="L184" s="16">
        <v>720229</v>
      </c>
      <c r="M184" s="16">
        <v>4936580</v>
      </c>
      <c r="O184" s="13" t="s">
        <v>39</v>
      </c>
      <c r="P184" s="13" t="s">
        <v>280</v>
      </c>
      <c r="Q184" s="17">
        <v>8</v>
      </c>
      <c r="R184" s="13" t="s">
        <v>279</v>
      </c>
      <c r="Z184" s="13">
        <v>8</v>
      </c>
      <c r="AE184" s="13">
        <v>8</v>
      </c>
      <c r="AH184" s="13">
        <v>6.5</v>
      </c>
      <c r="AI184" s="18"/>
    </row>
    <row r="185" spans="1:35" x14ac:dyDescent="0.3">
      <c r="A185" s="14" t="s">
        <v>272</v>
      </c>
      <c r="B185" s="13" t="s">
        <v>273</v>
      </c>
      <c r="C185" s="13" t="s">
        <v>274</v>
      </c>
      <c r="D185" s="13" t="s">
        <v>275</v>
      </c>
      <c r="E185" s="13" t="str">
        <f>INDEX(Sheet1!$E$23:$E$34,MATCH(A185,Sheet1!$D$23:$D$34,0))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85" s="13" t="s">
        <v>276</v>
      </c>
      <c r="H185" s="13" t="s">
        <v>37</v>
      </c>
      <c r="I185" s="13">
        <v>2023</v>
      </c>
      <c r="J185" s="19" t="s">
        <v>277</v>
      </c>
      <c r="K185" s="13" t="s">
        <v>287</v>
      </c>
      <c r="L185" s="16">
        <v>720229</v>
      </c>
      <c r="M185" s="16">
        <v>4936580</v>
      </c>
      <c r="O185" s="13" t="s">
        <v>39</v>
      </c>
      <c r="P185" s="13" t="s">
        <v>280</v>
      </c>
      <c r="Q185" s="17">
        <v>9</v>
      </c>
      <c r="R185" s="13" t="s">
        <v>279</v>
      </c>
      <c r="Z185" s="13">
        <v>9</v>
      </c>
      <c r="AE185" s="13">
        <v>9</v>
      </c>
      <c r="AH185" s="13">
        <v>7</v>
      </c>
      <c r="AI185" s="18"/>
    </row>
    <row r="186" spans="1:35" x14ac:dyDescent="0.3">
      <c r="A186" s="14" t="s">
        <v>272</v>
      </c>
      <c r="B186" s="13" t="s">
        <v>273</v>
      </c>
      <c r="C186" s="13" t="s">
        <v>274</v>
      </c>
      <c r="D186" s="13" t="s">
        <v>275</v>
      </c>
      <c r="E186" s="13" t="str">
        <f>INDEX(Sheet1!$E$23:$E$34,MATCH(A186,Sheet1!$D$23:$D$34,0))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86" s="13" t="s">
        <v>276</v>
      </c>
      <c r="H186" s="13" t="s">
        <v>37</v>
      </c>
      <c r="I186" s="13">
        <v>2023</v>
      </c>
      <c r="J186" s="19" t="s">
        <v>277</v>
      </c>
      <c r="K186" s="13" t="s">
        <v>287</v>
      </c>
      <c r="L186" s="16">
        <v>720229</v>
      </c>
      <c r="M186" s="16">
        <v>4936580</v>
      </c>
      <c r="O186" s="13" t="s">
        <v>39</v>
      </c>
      <c r="P186" s="13" t="s">
        <v>280</v>
      </c>
      <c r="Q186" s="17">
        <v>10</v>
      </c>
      <c r="R186" s="13" t="s">
        <v>279</v>
      </c>
      <c r="Z186" s="13">
        <v>10</v>
      </c>
      <c r="AE186" s="13">
        <v>10</v>
      </c>
      <c r="AH186" s="13">
        <v>5</v>
      </c>
      <c r="AI186" s="18"/>
    </row>
    <row r="187" spans="1:35" x14ac:dyDescent="0.3">
      <c r="A187" s="14" t="s">
        <v>272</v>
      </c>
      <c r="B187" s="13" t="s">
        <v>273</v>
      </c>
      <c r="C187" s="13" t="s">
        <v>274</v>
      </c>
      <c r="D187" s="13" t="s">
        <v>275</v>
      </c>
      <c r="E187" s="13" t="str">
        <f>INDEX(Sheet1!$E$23:$E$34,MATCH(A187,Sheet1!$D$23:$D$34,0))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87" s="13" t="s">
        <v>276</v>
      </c>
      <c r="H187" s="13" t="s">
        <v>37</v>
      </c>
      <c r="I187" s="13">
        <v>2023</v>
      </c>
      <c r="J187" s="19" t="s">
        <v>277</v>
      </c>
      <c r="K187" s="13" t="s">
        <v>287</v>
      </c>
      <c r="L187" s="16">
        <v>720229</v>
      </c>
      <c r="M187" s="16">
        <v>4936580</v>
      </c>
      <c r="O187" s="13" t="s">
        <v>39</v>
      </c>
      <c r="P187" s="13" t="s">
        <v>280</v>
      </c>
      <c r="Q187" s="17">
        <v>11</v>
      </c>
      <c r="R187" s="13" t="s">
        <v>279</v>
      </c>
      <c r="Z187" s="13">
        <v>11</v>
      </c>
      <c r="AE187" s="13">
        <v>11</v>
      </c>
      <c r="AH187" s="13">
        <v>6</v>
      </c>
      <c r="AI187" s="18"/>
    </row>
    <row r="188" spans="1:35" x14ac:dyDescent="0.3">
      <c r="A188" s="14" t="s">
        <v>272</v>
      </c>
      <c r="B188" s="13" t="s">
        <v>273</v>
      </c>
      <c r="C188" s="13" t="s">
        <v>274</v>
      </c>
      <c r="D188" s="13" t="s">
        <v>275</v>
      </c>
      <c r="E188" s="13" t="str">
        <f>INDEX(Sheet1!$E$23:$E$34,MATCH(A188,Sheet1!$D$23:$D$34,0))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88" s="13" t="s">
        <v>276</v>
      </c>
      <c r="H188" s="13" t="s">
        <v>37</v>
      </c>
      <c r="I188" s="13">
        <v>2023</v>
      </c>
      <c r="J188" s="19" t="s">
        <v>277</v>
      </c>
      <c r="K188" s="13" t="s">
        <v>288</v>
      </c>
      <c r="L188" s="16">
        <v>719601</v>
      </c>
      <c r="M188" s="16">
        <v>4938383</v>
      </c>
      <c r="O188" s="13" t="s">
        <v>45</v>
      </c>
      <c r="P188" s="13" t="s">
        <v>168</v>
      </c>
      <c r="Q188" s="17">
        <v>1</v>
      </c>
      <c r="R188" s="13" t="s">
        <v>279</v>
      </c>
      <c r="Z188" s="13">
        <v>1</v>
      </c>
      <c r="AE188" s="13">
        <v>1</v>
      </c>
      <c r="AH188" s="13">
        <v>7.5</v>
      </c>
      <c r="AI188" s="18"/>
    </row>
    <row r="189" spans="1:35" x14ac:dyDescent="0.3">
      <c r="A189" s="14" t="s">
        <v>272</v>
      </c>
      <c r="B189" s="13" t="s">
        <v>273</v>
      </c>
      <c r="C189" s="13" t="s">
        <v>274</v>
      </c>
      <c r="D189" s="13" t="s">
        <v>275</v>
      </c>
      <c r="E189" s="13" t="str">
        <f>INDEX(Sheet1!$E$23:$E$34,MATCH(A189,Sheet1!$D$23:$D$34,0))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89" s="13" t="s">
        <v>276</v>
      </c>
      <c r="H189" s="13" t="s">
        <v>37</v>
      </c>
      <c r="I189" s="13">
        <v>2023</v>
      </c>
      <c r="J189" s="19" t="s">
        <v>277</v>
      </c>
      <c r="K189" s="13" t="s">
        <v>288</v>
      </c>
      <c r="L189" s="16">
        <v>719601</v>
      </c>
      <c r="M189" s="16">
        <v>4938383</v>
      </c>
      <c r="O189" s="13" t="s">
        <v>39</v>
      </c>
      <c r="P189" s="13" t="s">
        <v>280</v>
      </c>
      <c r="Q189" s="17">
        <v>2</v>
      </c>
      <c r="R189" s="13" t="s">
        <v>279</v>
      </c>
      <c r="Z189" s="13">
        <v>2</v>
      </c>
      <c r="AE189" s="13">
        <v>2</v>
      </c>
      <c r="AH189" s="13">
        <v>5.5</v>
      </c>
      <c r="AI189" s="18"/>
    </row>
    <row r="190" spans="1:35" x14ac:dyDescent="0.3">
      <c r="A190" s="14" t="s">
        <v>272</v>
      </c>
      <c r="B190" s="13" t="s">
        <v>273</v>
      </c>
      <c r="C190" s="13" t="s">
        <v>274</v>
      </c>
      <c r="D190" s="13" t="s">
        <v>275</v>
      </c>
      <c r="E190" s="13" t="str">
        <f>INDEX(Sheet1!$E$23:$E$34,MATCH(A190,Sheet1!$D$23:$D$34,0))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90" s="13" t="s">
        <v>276</v>
      </c>
      <c r="H190" s="13" t="s">
        <v>37</v>
      </c>
      <c r="I190" s="13">
        <v>2023</v>
      </c>
      <c r="J190" s="19" t="s">
        <v>277</v>
      </c>
      <c r="K190" s="13" t="s">
        <v>288</v>
      </c>
      <c r="L190" s="16">
        <v>719601</v>
      </c>
      <c r="M190" s="16">
        <v>4938383</v>
      </c>
      <c r="O190" s="13" t="s">
        <v>39</v>
      </c>
      <c r="P190" s="13" t="s">
        <v>280</v>
      </c>
      <c r="Q190" s="17">
        <v>3</v>
      </c>
      <c r="R190" s="13" t="s">
        <v>279</v>
      </c>
      <c r="Z190" s="13">
        <v>3</v>
      </c>
      <c r="AE190" s="13">
        <v>3</v>
      </c>
      <c r="AH190" s="13">
        <v>7</v>
      </c>
      <c r="AI190" s="18"/>
    </row>
    <row r="191" spans="1:35" x14ac:dyDescent="0.3">
      <c r="A191" s="14" t="s">
        <v>272</v>
      </c>
      <c r="B191" s="13" t="s">
        <v>273</v>
      </c>
      <c r="C191" s="13" t="s">
        <v>274</v>
      </c>
      <c r="D191" s="13" t="s">
        <v>275</v>
      </c>
      <c r="E191" s="13" t="str">
        <f>INDEX(Sheet1!$E$23:$E$34,MATCH(A191,Sheet1!$D$23:$D$34,0))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91" s="13" t="s">
        <v>276</v>
      </c>
      <c r="H191" s="13" t="s">
        <v>37</v>
      </c>
      <c r="I191" s="13">
        <v>2023</v>
      </c>
      <c r="J191" s="19" t="s">
        <v>277</v>
      </c>
      <c r="K191" s="13" t="s">
        <v>288</v>
      </c>
      <c r="L191" s="16">
        <v>719601</v>
      </c>
      <c r="M191" s="16">
        <v>4938383</v>
      </c>
      <c r="O191" s="13" t="s">
        <v>45</v>
      </c>
      <c r="P191" s="13" t="s">
        <v>168</v>
      </c>
      <c r="Q191" s="17">
        <v>4</v>
      </c>
      <c r="R191" s="13" t="s">
        <v>279</v>
      </c>
      <c r="Z191" s="13">
        <v>4</v>
      </c>
      <c r="AE191" s="13">
        <v>4</v>
      </c>
      <c r="AH191" s="13">
        <v>6.5</v>
      </c>
      <c r="AI191" s="18"/>
    </row>
    <row r="192" spans="1:35" x14ac:dyDescent="0.3">
      <c r="A192" s="14" t="s">
        <v>272</v>
      </c>
      <c r="B192" s="13" t="s">
        <v>273</v>
      </c>
      <c r="C192" s="13" t="s">
        <v>274</v>
      </c>
      <c r="D192" s="13" t="s">
        <v>275</v>
      </c>
      <c r="E192" s="13" t="str">
        <f>INDEX(Sheet1!$E$23:$E$34,MATCH(A192,Sheet1!$D$23:$D$34,0))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92" s="13" t="s">
        <v>276</v>
      </c>
      <c r="H192" s="13" t="s">
        <v>37</v>
      </c>
      <c r="I192" s="13">
        <v>2023</v>
      </c>
      <c r="J192" s="19" t="s">
        <v>277</v>
      </c>
      <c r="K192" s="13" t="s">
        <v>288</v>
      </c>
      <c r="L192" s="16">
        <v>719601</v>
      </c>
      <c r="M192" s="16">
        <v>4938383</v>
      </c>
      <c r="O192" s="13" t="s">
        <v>45</v>
      </c>
      <c r="P192" s="13" t="s">
        <v>168</v>
      </c>
      <c r="Q192" s="17">
        <v>5</v>
      </c>
      <c r="R192" s="13" t="s">
        <v>279</v>
      </c>
      <c r="Z192" s="13">
        <v>5</v>
      </c>
      <c r="AE192" s="13">
        <v>5</v>
      </c>
      <c r="AH192" s="13">
        <v>7</v>
      </c>
      <c r="AI192" s="18"/>
    </row>
    <row r="193" spans="1:35" x14ac:dyDescent="0.3">
      <c r="A193" s="14" t="s">
        <v>272</v>
      </c>
      <c r="B193" s="13" t="s">
        <v>273</v>
      </c>
      <c r="C193" s="13" t="s">
        <v>274</v>
      </c>
      <c r="D193" s="13" t="s">
        <v>275</v>
      </c>
      <c r="E193" s="13" t="str">
        <f>INDEX(Sheet1!$E$23:$E$34,MATCH(A193,Sheet1!$D$23:$D$34,0))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93" s="13" t="s">
        <v>276</v>
      </c>
      <c r="H193" s="13" t="s">
        <v>37</v>
      </c>
      <c r="I193" s="13">
        <v>2023</v>
      </c>
      <c r="J193" s="19" t="s">
        <v>277</v>
      </c>
      <c r="K193" s="13" t="s">
        <v>288</v>
      </c>
      <c r="L193" s="16">
        <v>719601</v>
      </c>
      <c r="M193" s="16">
        <v>4938383</v>
      </c>
      <c r="O193" s="13" t="s">
        <v>39</v>
      </c>
      <c r="P193" s="13" t="s">
        <v>280</v>
      </c>
      <c r="Q193" s="17">
        <v>6</v>
      </c>
      <c r="R193" s="13" t="s">
        <v>279</v>
      </c>
      <c r="Z193" s="13">
        <v>6</v>
      </c>
      <c r="AE193" s="13">
        <v>6</v>
      </c>
      <c r="AH193" s="13">
        <v>8</v>
      </c>
      <c r="AI193" s="18"/>
    </row>
    <row r="194" spans="1:35" x14ac:dyDescent="0.3">
      <c r="A194" s="14" t="s">
        <v>272</v>
      </c>
      <c r="B194" s="13" t="s">
        <v>273</v>
      </c>
      <c r="C194" s="13" t="s">
        <v>274</v>
      </c>
      <c r="D194" s="13" t="s">
        <v>275</v>
      </c>
      <c r="E194" s="13" t="str">
        <f>INDEX(Sheet1!$E$23:$E$34,MATCH(A194,Sheet1!$D$23:$D$34,0))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94" s="13" t="s">
        <v>276</v>
      </c>
      <c r="H194" s="13" t="s">
        <v>37</v>
      </c>
      <c r="I194" s="13">
        <v>2023</v>
      </c>
      <c r="J194" s="19" t="s">
        <v>277</v>
      </c>
      <c r="K194" s="13" t="s">
        <v>288</v>
      </c>
      <c r="L194" s="16">
        <v>719601</v>
      </c>
      <c r="M194" s="16">
        <v>4938383</v>
      </c>
      <c r="O194" s="13" t="s">
        <v>39</v>
      </c>
      <c r="P194" s="13" t="s">
        <v>280</v>
      </c>
      <c r="Q194" s="17">
        <v>7</v>
      </c>
      <c r="R194" s="13" t="s">
        <v>279</v>
      </c>
      <c r="Z194" s="13">
        <v>7</v>
      </c>
      <c r="AE194" s="13">
        <v>7</v>
      </c>
      <c r="AH194" s="13">
        <v>6</v>
      </c>
      <c r="AI194" s="18"/>
    </row>
    <row r="195" spans="1:35" x14ac:dyDescent="0.3">
      <c r="A195" s="14" t="s">
        <v>272</v>
      </c>
      <c r="B195" s="13" t="s">
        <v>273</v>
      </c>
      <c r="C195" s="13" t="s">
        <v>274</v>
      </c>
      <c r="D195" s="13" t="s">
        <v>275</v>
      </c>
      <c r="E195" s="13" t="str">
        <f>INDEX(Sheet1!$E$23:$E$34,MATCH(A195,Sheet1!$D$23:$D$34,0))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95" s="13" t="s">
        <v>276</v>
      </c>
      <c r="H195" s="13" t="s">
        <v>37</v>
      </c>
      <c r="I195" s="13">
        <v>2023</v>
      </c>
      <c r="J195" s="19" t="s">
        <v>277</v>
      </c>
      <c r="K195" s="13" t="s">
        <v>288</v>
      </c>
      <c r="L195" s="16">
        <v>719601</v>
      </c>
      <c r="M195" s="16">
        <v>4938383</v>
      </c>
      <c r="O195" s="13" t="s">
        <v>39</v>
      </c>
      <c r="P195" s="13" t="s">
        <v>280</v>
      </c>
      <c r="Q195" s="17">
        <v>8</v>
      </c>
      <c r="R195" s="13" t="s">
        <v>279</v>
      </c>
      <c r="Z195" s="13">
        <v>8</v>
      </c>
      <c r="AE195" s="13">
        <v>8</v>
      </c>
      <c r="AH195" s="13">
        <v>7</v>
      </c>
      <c r="AI195" s="18"/>
    </row>
    <row r="196" spans="1:35" x14ac:dyDescent="0.3">
      <c r="A196" s="14" t="s">
        <v>272</v>
      </c>
      <c r="B196" s="13" t="s">
        <v>273</v>
      </c>
      <c r="C196" s="13" t="s">
        <v>274</v>
      </c>
      <c r="D196" s="13" t="s">
        <v>275</v>
      </c>
      <c r="E196" s="13" t="str">
        <f>INDEX(Sheet1!$E$23:$E$34,MATCH(A196,Sheet1!$D$23:$D$34,0))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96" s="13" t="s">
        <v>276</v>
      </c>
      <c r="H196" s="13" t="s">
        <v>37</v>
      </c>
      <c r="I196" s="13">
        <v>2023</v>
      </c>
      <c r="J196" s="19" t="s">
        <v>277</v>
      </c>
      <c r="K196" s="13" t="s">
        <v>288</v>
      </c>
      <c r="L196" s="16">
        <v>719601</v>
      </c>
      <c r="M196" s="16">
        <v>4938383</v>
      </c>
      <c r="O196" s="13" t="s">
        <v>45</v>
      </c>
      <c r="P196" s="13" t="s">
        <v>168</v>
      </c>
      <c r="Q196" s="17">
        <v>9</v>
      </c>
      <c r="R196" s="13" t="s">
        <v>279</v>
      </c>
      <c r="Z196" s="13">
        <v>9</v>
      </c>
      <c r="AE196" s="13">
        <v>9</v>
      </c>
      <c r="AH196" s="13">
        <v>7</v>
      </c>
      <c r="AI196" s="18"/>
    </row>
    <row r="197" spans="1:35" x14ac:dyDescent="0.3">
      <c r="A197" s="14" t="s">
        <v>272</v>
      </c>
      <c r="B197" s="13" t="s">
        <v>273</v>
      </c>
      <c r="C197" s="13" t="s">
        <v>274</v>
      </c>
      <c r="D197" s="13" t="s">
        <v>275</v>
      </c>
      <c r="E197" s="13" t="str">
        <f>INDEX(Sheet1!$E$23:$E$34,MATCH(A197,Sheet1!$D$23:$D$34,0))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97" s="13" t="s">
        <v>276</v>
      </c>
      <c r="H197" s="13" t="s">
        <v>37</v>
      </c>
      <c r="I197" s="13">
        <v>2023</v>
      </c>
      <c r="J197" s="19" t="s">
        <v>277</v>
      </c>
      <c r="K197" s="13" t="s">
        <v>288</v>
      </c>
      <c r="L197" s="16">
        <v>719601</v>
      </c>
      <c r="M197" s="16">
        <v>4938383</v>
      </c>
      <c r="O197" s="13" t="s">
        <v>45</v>
      </c>
      <c r="P197" s="13" t="s">
        <v>168</v>
      </c>
      <c r="Q197" s="17">
        <v>10</v>
      </c>
      <c r="R197" s="13" t="s">
        <v>279</v>
      </c>
      <c r="Z197" s="13">
        <v>10</v>
      </c>
      <c r="AE197" s="13">
        <v>10</v>
      </c>
      <c r="AH197" s="13">
        <v>6.5</v>
      </c>
      <c r="AI197" s="18"/>
    </row>
    <row r="198" spans="1:35" x14ac:dyDescent="0.3">
      <c r="A198" s="14" t="s">
        <v>272</v>
      </c>
      <c r="B198" s="13" t="s">
        <v>273</v>
      </c>
      <c r="C198" s="13" t="s">
        <v>274</v>
      </c>
      <c r="D198" s="13" t="s">
        <v>275</v>
      </c>
      <c r="E198" s="13" t="str">
        <f>INDEX(Sheet1!$E$23:$E$34,MATCH(A198,Sheet1!$D$23:$D$34,0))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98" s="13" t="s">
        <v>276</v>
      </c>
      <c r="H198" s="13" t="s">
        <v>37</v>
      </c>
      <c r="I198" s="13">
        <v>2023</v>
      </c>
      <c r="J198" s="19" t="s">
        <v>277</v>
      </c>
      <c r="K198" s="13" t="s">
        <v>289</v>
      </c>
      <c r="L198" s="16">
        <v>719307</v>
      </c>
      <c r="M198" s="16">
        <v>4938498</v>
      </c>
      <c r="O198" s="13" t="s">
        <v>45</v>
      </c>
      <c r="P198" s="13" t="s">
        <v>168</v>
      </c>
      <c r="Q198" s="17">
        <v>1</v>
      </c>
      <c r="R198" s="13" t="s">
        <v>279</v>
      </c>
      <c r="Z198" s="13">
        <v>1</v>
      </c>
      <c r="AE198" s="13">
        <v>1</v>
      </c>
      <c r="AH198" s="13">
        <v>37.5</v>
      </c>
      <c r="AI198" s="18"/>
    </row>
    <row r="199" spans="1:35" x14ac:dyDescent="0.3">
      <c r="A199" s="14" t="s">
        <v>272</v>
      </c>
      <c r="B199" s="13" t="s">
        <v>273</v>
      </c>
      <c r="C199" s="13" t="s">
        <v>274</v>
      </c>
      <c r="D199" s="13" t="s">
        <v>275</v>
      </c>
      <c r="E199" s="13" t="str">
        <f>INDEX(Sheet1!$E$23:$E$34,MATCH(A199,Sheet1!$D$23:$D$34,0))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199" s="13" t="s">
        <v>276</v>
      </c>
      <c r="H199" s="13" t="s">
        <v>37</v>
      </c>
      <c r="I199" s="13">
        <v>2023</v>
      </c>
      <c r="J199" s="19" t="s">
        <v>277</v>
      </c>
      <c r="K199" s="13" t="s">
        <v>289</v>
      </c>
      <c r="L199" s="16">
        <v>719307</v>
      </c>
      <c r="M199" s="16">
        <v>4938498</v>
      </c>
      <c r="O199" s="13" t="s">
        <v>285</v>
      </c>
      <c r="P199" s="13" t="s">
        <v>86</v>
      </c>
      <c r="Q199" s="17">
        <v>2</v>
      </c>
      <c r="R199" s="13" t="s">
        <v>279</v>
      </c>
      <c r="Z199" s="13">
        <v>2</v>
      </c>
      <c r="AE199" s="13">
        <v>2</v>
      </c>
      <c r="AH199" s="13">
        <v>9.5</v>
      </c>
      <c r="AI199" s="18"/>
    </row>
    <row r="200" spans="1:35" x14ac:dyDescent="0.3">
      <c r="A200" s="14" t="s">
        <v>272</v>
      </c>
      <c r="B200" s="13" t="s">
        <v>273</v>
      </c>
      <c r="C200" s="13" t="s">
        <v>274</v>
      </c>
      <c r="D200" s="13" t="s">
        <v>275</v>
      </c>
      <c r="E200" s="13" t="str">
        <f>INDEX(Sheet1!$E$23:$E$34,MATCH(A200,Sheet1!$D$23:$D$34,0))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00" s="13" t="s">
        <v>276</v>
      </c>
      <c r="H200" s="13" t="s">
        <v>37</v>
      </c>
      <c r="I200" s="13">
        <v>2023</v>
      </c>
      <c r="J200" s="19" t="s">
        <v>277</v>
      </c>
      <c r="K200" s="13" t="s">
        <v>289</v>
      </c>
      <c r="L200" s="16">
        <v>719307</v>
      </c>
      <c r="M200" s="16">
        <v>4938498</v>
      </c>
      <c r="O200" s="13" t="s">
        <v>39</v>
      </c>
      <c r="P200" s="13" t="s">
        <v>280</v>
      </c>
      <c r="Q200" s="17">
        <v>3</v>
      </c>
      <c r="R200" s="13" t="s">
        <v>279</v>
      </c>
      <c r="Z200" s="13">
        <v>3</v>
      </c>
      <c r="AE200" s="13">
        <v>3</v>
      </c>
      <c r="AH200" s="13">
        <v>8</v>
      </c>
      <c r="AI200" s="18"/>
    </row>
    <row r="201" spans="1:35" x14ac:dyDescent="0.3">
      <c r="A201" s="14" t="s">
        <v>272</v>
      </c>
      <c r="B201" s="13" t="s">
        <v>273</v>
      </c>
      <c r="C201" s="13" t="s">
        <v>274</v>
      </c>
      <c r="D201" s="13" t="s">
        <v>275</v>
      </c>
      <c r="E201" s="13" t="str">
        <f>INDEX(Sheet1!$E$23:$E$34,MATCH(A201,Sheet1!$D$23:$D$34,0))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01" s="13" t="s">
        <v>276</v>
      </c>
      <c r="H201" s="13" t="s">
        <v>37</v>
      </c>
      <c r="I201" s="13">
        <v>2023</v>
      </c>
      <c r="J201" s="19" t="s">
        <v>277</v>
      </c>
      <c r="K201" s="13" t="s">
        <v>289</v>
      </c>
      <c r="L201" s="16">
        <v>719307</v>
      </c>
      <c r="M201" s="16">
        <v>4938498</v>
      </c>
      <c r="O201" s="13" t="s">
        <v>285</v>
      </c>
      <c r="P201" s="13" t="s">
        <v>86</v>
      </c>
      <c r="Q201" s="17">
        <v>4</v>
      </c>
      <c r="R201" s="13" t="s">
        <v>279</v>
      </c>
      <c r="Z201" s="13">
        <v>4</v>
      </c>
      <c r="AE201" s="13">
        <v>4</v>
      </c>
      <c r="AH201" s="13">
        <v>9.5</v>
      </c>
      <c r="AI201" s="18"/>
    </row>
    <row r="202" spans="1:35" x14ac:dyDescent="0.3">
      <c r="A202" s="14" t="s">
        <v>272</v>
      </c>
      <c r="B202" s="13" t="s">
        <v>273</v>
      </c>
      <c r="C202" s="13" t="s">
        <v>274</v>
      </c>
      <c r="D202" s="13" t="s">
        <v>275</v>
      </c>
      <c r="E202" s="13" t="str">
        <f>INDEX(Sheet1!$E$23:$E$34,MATCH(A202,Sheet1!$D$23:$D$34,0))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02" s="13" t="s">
        <v>276</v>
      </c>
      <c r="H202" s="13" t="s">
        <v>37</v>
      </c>
      <c r="I202" s="13">
        <v>2023</v>
      </c>
      <c r="J202" s="19" t="s">
        <v>277</v>
      </c>
      <c r="K202" s="13" t="s">
        <v>289</v>
      </c>
      <c r="L202" s="16">
        <v>719307</v>
      </c>
      <c r="M202" s="16">
        <v>4938498</v>
      </c>
      <c r="O202" s="13" t="s">
        <v>39</v>
      </c>
      <c r="P202" s="13" t="s">
        <v>280</v>
      </c>
      <c r="Q202" s="17">
        <v>5</v>
      </c>
      <c r="R202" s="13" t="s">
        <v>279</v>
      </c>
      <c r="Z202" s="13">
        <v>5</v>
      </c>
      <c r="AE202" s="13">
        <v>5</v>
      </c>
      <c r="AH202" s="13">
        <v>9</v>
      </c>
      <c r="AI202" s="18"/>
    </row>
    <row r="203" spans="1:35" x14ac:dyDescent="0.3">
      <c r="A203" s="14" t="s">
        <v>272</v>
      </c>
      <c r="B203" s="13" t="s">
        <v>273</v>
      </c>
      <c r="C203" s="13" t="s">
        <v>274</v>
      </c>
      <c r="D203" s="13" t="s">
        <v>275</v>
      </c>
      <c r="E203" s="13" t="str">
        <f>INDEX(Sheet1!$E$23:$E$34,MATCH(A203,Sheet1!$D$23:$D$34,0))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03" s="13" t="s">
        <v>276</v>
      </c>
      <c r="H203" s="13" t="s">
        <v>37</v>
      </c>
      <c r="I203" s="13">
        <v>2023</v>
      </c>
      <c r="J203" s="19" t="s">
        <v>277</v>
      </c>
      <c r="K203" s="13" t="s">
        <v>289</v>
      </c>
      <c r="L203" s="16">
        <v>719307</v>
      </c>
      <c r="M203" s="16">
        <v>4938498</v>
      </c>
      <c r="O203" s="13" t="s">
        <v>39</v>
      </c>
      <c r="P203" s="13" t="s">
        <v>280</v>
      </c>
      <c r="Q203" s="17">
        <v>6</v>
      </c>
      <c r="R203" s="13" t="s">
        <v>279</v>
      </c>
      <c r="Z203" s="13">
        <v>6</v>
      </c>
      <c r="AE203" s="13">
        <v>6</v>
      </c>
      <c r="AH203" s="13">
        <v>6.5</v>
      </c>
      <c r="AI203" s="18"/>
    </row>
    <row r="204" spans="1:35" x14ac:dyDescent="0.3">
      <c r="A204" s="14" t="s">
        <v>272</v>
      </c>
      <c r="B204" s="13" t="s">
        <v>273</v>
      </c>
      <c r="C204" s="13" t="s">
        <v>274</v>
      </c>
      <c r="D204" s="13" t="s">
        <v>275</v>
      </c>
      <c r="E204" s="13" t="str">
        <f>INDEX(Sheet1!$E$23:$E$34,MATCH(A204,Sheet1!$D$23:$D$34,0))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04" s="13" t="s">
        <v>276</v>
      </c>
      <c r="H204" s="13" t="s">
        <v>37</v>
      </c>
      <c r="I204" s="13">
        <v>2023</v>
      </c>
      <c r="J204" s="19" t="s">
        <v>277</v>
      </c>
      <c r="K204" s="13" t="s">
        <v>289</v>
      </c>
      <c r="L204" s="16">
        <v>719307</v>
      </c>
      <c r="M204" s="16">
        <v>4938498</v>
      </c>
      <c r="O204" s="13" t="s">
        <v>282</v>
      </c>
      <c r="Q204" s="17">
        <v>7</v>
      </c>
      <c r="R204" s="13" t="s">
        <v>279</v>
      </c>
      <c r="Z204" s="13">
        <v>7</v>
      </c>
      <c r="AE204" s="13">
        <v>7</v>
      </c>
      <c r="AH204" s="13">
        <v>10</v>
      </c>
      <c r="AI204" s="18"/>
    </row>
    <row r="205" spans="1:35" x14ac:dyDescent="0.3">
      <c r="A205" s="14" t="s">
        <v>272</v>
      </c>
      <c r="B205" s="13" t="s">
        <v>273</v>
      </c>
      <c r="C205" s="13" t="s">
        <v>274</v>
      </c>
      <c r="D205" s="13" t="s">
        <v>275</v>
      </c>
      <c r="E205" s="13" t="str">
        <f>INDEX(Sheet1!$E$23:$E$34,MATCH(A205,Sheet1!$D$23:$D$34,0))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05" s="13" t="s">
        <v>276</v>
      </c>
      <c r="H205" s="13" t="s">
        <v>37</v>
      </c>
      <c r="I205" s="13">
        <v>2023</v>
      </c>
      <c r="J205" s="19" t="s">
        <v>277</v>
      </c>
      <c r="K205" s="13" t="s">
        <v>289</v>
      </c>
      <c r="L205" s="16">
        <v>719307</v>
      </c>
      <c r="M205" s="16">
        <v>4938498</v>
      </c>
      <c r="O205" s="13" t="s">
        <v>39</v>
      </c>
      <c r="P205" s="13" t="s">
        <v>280</v>
      </c>
      <c r="Q205" s="17">
        <v>8</v>
      </c>
      <c r="R205" s="13" t="s">
        <v>279</v>
      </c>
      <c r="Z205" s="13">
        <v>8</v>
      </c>
      <c r="AE205" s="13">
        <v>8</v>
      </c>
      <c r="AH205" s="13">
        <v>6</v>
      </c>
      <c r="AI205" s="18"/>
    </row>
    <row r="206" spans="1:35" x14ac:dyDescent="0.3">
      <c r="A206" s="14" t="s">
        <v>272</v>
      </c>
      <c r="B206" s="13" t="s">
        <v>273</v>
      </c>
      <c r="C206" s="13" t="s">
        <v>274</v>
      </c>
      <c r="D206" s="13" t="s">
        <v>275</v>
      </c>
      <c r="E206" s="13" t="str">
        <f>INDEX(Sheet1!$E$23:$E$34,MATCH(A206,Sheet1!$D$23:$D$34,0))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06" s="13" t="s">
        <v>276</v>
      </c>
      <c r="H206" s="13" t="s">
        <v>37</v>
      </c>
      <c r="I206" s="13">
        <v>2023</v>
      </c>
      <c r="J206" s="19" t="s">
        <v>277</v>
      </c>
      <c r="K206" s="13" t="s">
        <v>289</v>
      </c>
      <c r="L206" s="16">
        <v>719307</v>
      </c>
      <c r="M206" s="16">
        <v>4938498</v>
      </c>
      <c r="O206" s="13" t="s">
        <v>39</v>
      </c>
      <c r="P206" s="13" t="s">
        <v>280</v>
      </c>
      <c r="Q206" s="17">
        <v>9</v>
      </c>
      <c r="R206" s="13" t="s">
        <v>279</v>
      </c>
      <c r="Z206" s="13">
        <v>9</v>
      </c>
      <c r="AE206" s="13">
        <v>9</v>
      </c>
      <c r="AH206" s="13">
        <v>7.5</v>
      </c>
      <c r="AI206" s="18"/>
    </row>
    <row r="207" spans="1:35" x14ac:dyDescent="0.3">
      <c r="A207" s="14" t="s">
        <v>272</v>
      </c>
      <c r="B207" s="13" t="s">
        <v>273</v>
      </c>
      <c r="C207" s="13" t="s">
        <v>274</v>
      </c>
      <c r="D207" s="13" t="s">
        <v>275</v>
      </c>
      <c r="E207" s="13" t="str">
        <f>INDEX(Sheet1!$E$23:$E$34,MATCH(A207,Sheet1!$D$23:$D$34,0))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07" s="13" t="s">
        <v>276</v>
      </c>
      <c r="H207" s="13" t="s">
        <v>37</v>
      </c>
      <c r="I207" s="13">
        <v>2023</v>
      </c>
      <c r="J207" s="19" t="s">
        <v>277</v>
      </c>
      <c r="K207" s="13" t="s">
        <v>289</v>
      </c>
      <c r="L207" s="16">
        <v>719307</v>
      </c>
      <c r="M207" s="16">
        <v>4938498</v>
      </c>
      <c r="O207" s="13" t="s">
        <v>39</v>
      </c>
      <c r="P207" s="13" t="s">
        <v>280</v>
      </c>
      <c r="Q207" s="17">
        <v>10</v>
      </c>
      <c r="R207" s="13" t="s">
        <v>279</v>
      </c>
      <c r="Z207" s="13">
        <v>10</v>
      </c>
      <c r="AE207" s="13">
        <v>10</v>
      </c>
      <c r="AH207" s="13">
        <v>5.5</v>
      </c>
      <c r="AI207" s="18"/>
    </row>
    <row r="208" spans="1:35" x14ac:dyDescent="0.3">
      <c r="A208" s="14" t="s">
        <v>272</v>
      </c>
      <c r="B208" s="13" t="s">
        <v>273</v>
      </c>
      <c r="C208" s="13" t="s">
        <v>274</v>
      </c>
      <c r="D208" s="13" t="s">
        <v>275</v>
      </c>
      <c r="E208" s="13" t="str">
        <f>INDEX(Sheet1!$E$23:$E$34,MATCH(A208,Sheet1!$D$23:$D$34,0))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08" s="13" t="s">
        <v>276</v>
      </c>
      <c r="H208" s="13" t="s">
        <v>37</v>
      </c>
      <c r="I208" s="13">
        <v>2023</v>
      </c>
      <c r="J208" s="19" t="s">
        <v>277</v>
      </c>
      <c r="K208" s="13" t="s">
        <v>290</v>
      </c>
      <c r="L208" s="16">
        <v>739394</v>
      </c>
      <c r="M208" s="16">
        <v>4921849</v>
      </c>
      <c r="O208" s="13" t="s">
        <v>45</v>
      </c>
      <c r="P208" s="13" t="s">
        <v>168</v>
      </c>
      <c r="Q208" s="17">
        <v>1</v>
      </c>
      <c r="R208" s="13" t="s">
        <v>279</v>
      </c>
      <c r="Z208" s="13">
        <v>1</v>
      </c>
      <c r="AE208" s="13">
        <v>1</v>
      </c>
      <c r="AH208" s="13">
        <v>26</v>
      </c>
      <c r="AI208" s="18"/>
    </row>
    <row r="209" spans="1:35" x14ac:dyDescent="0.3">
      <c r="A209" s="14" t="s">
        <v>272</v>
      </c>
      <c r="B209" s="13" t="s">
        <v>273</v>
      </c>
      <c r="C209" s="13" t="s">
        <v>274</v>
      </c>
      <c r="D209" s="13" t="s">
        <v>275</v>
      </c>
      <c r="E209" s="13" t="str">
        <f>INDEX(Sheet1!$E$23:$E$34,MATCH(A209,Sheet1!$D$23:$D$34,0))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09" s="13" t="s">
        <v>276</v>
      </c>
      <c r="H209" s="13" t="s">
        <v>37</v>
      </c>
      <c r="I209" s="13">
        <v>2023</v>
      </c>
      <c r="J209" s="19" t="s">
        <v>277</v>
      </c>
      <c r="K209" s="13" t="s">
        <v>290</v>
      </c>
      <c r="L209" s="16">
        <v>739394</v>
      </c>
      <c r="M209" s="16">
        <v>4921849</v>
      </c>
      <c r="O209" s="13" t="s">
        <v>45</v>
      </c>
      <c r="P209" s="13" t="s">
        <v>168</v>
      </c>
      <c r="Q209" s="17">
        <v>2</v>
      </c>
      <c r="R209" s="13" t="s">
        <v>279</v>
      </c>
      <c r="Z209" s="13">
        <v>2</v>
      </c>
      <c r="AE209" s="13">
        <v>2</v>
      </c>
      <c r="AH209" s="13">
        <v>36</v>
      </c>
      <c r="AI209" s="18"/>
    </row>
    <row r="210" spans="1:35" x14ac:dyDescent="0.3">
      <c r="A210" s="14" t="s">
        <v>272</v>
      </c>
      <c r="B210" s="13" t="s">
        <v>273</v>
      </c>
      <c r="C210" s="13" t="s">
        <v>274</v>
      </c>
      <c r="D210" s="13" t="s">
        <v>275</v>
      </c>
      <c r="E210" s="13" t="str">
        <f>INDEX(Sheet1!$E$23:$E$34,MATCH(A210,Sheet1!$D$23:$D$34,0))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10" s="13" t="s">
        <v>276</v>
      </c>
      <c r="H210" s="13" t="s">
        <v>37</v>
      </c>
      <c r="I210" s="13">
        <v>2023</v>
      </c>
      <c r="J210" s="19" t="s">
        <v>277</v>
      </c>
      <c r="K210" s="13" t="s">
        <v>290</v>
      </c>
      <c r="L210" s="16">
        <v>739394</v>
      </c>
      <c r="M210" s="16">
        <v>4921849</v>
      </c>
      <c r="O210" s="13" t="s">
        <v>39</v>
      </c>
      <c r="P210" s="13" t="s">
        <v>280</v>
      </c>
      <c r="Q210" s="17">
        <v>3</v>
      </c>
      <c r="R210" s="13" t="s">
        <v>279</v>
      </c>
      <c r="Z210" s="13">
        <v>3</v>
      </c>
      <c r="AE210" s="13">
        <v>3</v>
      </c>
      <c r="AH210" s="13">
        <v>13</v>
      </c>
      <c r="AI210" s="18"/>
    </row>
    <row r="211" spans="1:35" x14ac:dyDescent="0.3">
      <c r="A211" s="14" t="s">
        <v>272</v>
      </c>
      <c r="B211" s="13" t="s">
        <v>273</v>
      </c>
      <c r="C211" s="13" t="s">
        <v>274</v>
      </c>
      <c r="D211" s="13" t="s">
        <v>275</v>
      </c>
      <c r="E211" s="13" t="str">
        <f>INDEX(Sheet1!$E$23:$E$34,MATCH(A211,Sheet1!$D$23:$D$34,0))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11" s="13" t="s">
        <v>276</v>
      </c>
      <c r="H211" s="13" t="s">
        <v>37</v>
      </c>
      <c r="I211" s="13">
        <v>2023</v>
      </c>
      <c r="J211" s="19" t="s">
        <v>277</v>
      </c>
      <c r="K211" s="13" t="s">
        <v>290</v>
      </c>
      <c r="L211" s="16">
        <v>739394</v>
      </c>
      <c r="M211" s="16">
        <v>4921849</v>
      </c>
      <c r="O211" s="13" t="s">
        <v>39</v>
      </c>
      <c r="P211" s="13" t="s">
        <v>280</v>
      </c>
      <c r="Q211" s="17">
        <v>4</v>
      </c>
      <c r="R211" s="13" t="s">
        <v>279</v>
      </c>
      <c r="Z211" s="13">
        <v>4</v>
      </c>
      <c r="AE211" s="13">
        <v>4</v>
      </c>
      <c r="AH211" s="13">
        <v>6</v>
      </c>
      <c r="AI211" s="18"/>
    </row>
    <row r="212" spans="1:35" x14ac:dyDescent="0.3">
      <c r="A212" s="14" t="s">
        <v>272</v>
      </c>
      <c r="B212" s="13" t="s">
        <v>273</v>
      </c>
      <c r="C212" s="13" t="s">
        <v>274</v>
      </c>
      <c r="D212" s="13" t="s">
        <v>275</v>
      </c>
      <c r="E212" s="13" t="str">
        <f>INDEX(Sheet1!$E$23:$E$34,MATCH(A212,Sheet1!$D$23:$D$34,0))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12" s="13" t="s">
        <v>276</v>
      </c>
      <c r="H212" s="13" t="s">
        <v>37</v>
      </c>
      <c r="I212" s="13">
        <v>2023</v>
      </c>
      <c r="J212" s="19" t="s">
        <v>277</v>
      </c>
      <c r="K212" s="13" t="s">
        <v>290</v>
      </c>
      <c r="L212" s="16">
        <v>739394</v>
      </c>
      <c r="M212" s="16">
        <v>4921849</v>
      </c>
      <c r="O212" s="13" t="s">
        <v>39</v>
      </c>
      <c r="P212" s="13" t="s">
        <v>280</v>
      </c>
      <c r="Q212" s="17">
        <v>5</v>
      </c>
      <c r="R212" s="13" t="s">
        <v>279</v>
      </c>
      <c r="Z212" s="13">
        <v>5</v>
      </c>
      <c r="AE212" s="13">
        <v>5</v>
      </c>
      <c r="AH212" s="13">
        <v>29.5</v>
      </c>
      <c r="AI212" s="18"/>
    </row>
    <row r="213" spans="1:35" x14ac:dyDescent="0.3">
      <c r="A213" s="14" t="s">
        <v>272</v>
      </c>
      <c r="B213" s="13" t="s">
        <v>273</v>
      </c>
      <c r="C213" s="13" t="s">
        <v>274</v>
      </c>
      <c r="D213" s="13" t="s">
        <v>275</v>
      </c>
      <c r="E213" s="13" t="str">
        <f>INDEX(Sheet1!$E$23:$E$34,MATCH(A213,Sheet1!$D$23:$D$34,0))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13" s="13" t="s">
        <v>276</v>
      </c>
      <c r="H213" s="13" t="s">
        <v>37</v>
      </c>
      <c r="I213" s="13">
        <v>2023</v>
      </c>
      <c r="J213" s="19" t="s">
        <v>277</v>
      </c>
      <c r="K213" s="13" t="s">
        <v>290</v>
      </c>
      <c r="L213" s="16">
        <v>739394</v>
      </c>
      <c r="M213" s="16">
        <v>4921849</v>
      </c>
      <c r="O213" s="13" t="s">
        <v>39</v>
      </c>
      <c r="P213" s="13" t="s">
        <v>280</v>
      </c>
      <c r="Q213" s="17">
        <v>6</v>
      </c>
      <c r="R213" s="13" t="s">
        <v>279</v>
      </c>
      <c r="Z213" s="13">
        <v>6</v>
      </c>
      <c r="AE213" s="13">
        <v>6</v>
      </c>
      <c r="AH213" s="13">
        <v>6</v>
      </c>
      <c r="AI213" s="18"/>
    </row>
    <row r="214" spans="1:35" x14ac:dyDescent="0.3">
      <c r="A214" s="14" t="s">
        <v>272</v>
      </c>
      <c r="B214" s="13" t="s">
        <v>273</v>
      </c>
      <c r="C214" s="13" t="s">
        <v>274</v>
      </c>
      <c r="D214" s="13" t="s">
        <v>275</v>
      </c>
      <c r="E214" s="13" t="str">
        <f>INDEX(Sheet1!$E$23:$E$34,MATCH(A214,Sheet1!$D$23:$D$34,0))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14" s="13" t="s">
        <v>276</v>
      </c>
      <c r="H214" s="13" t="s">
        <v>37</v>
      </c>
      <c r="I214" s="13">
        <v>2023</v>
      </c>
      <c r="J214" s="19" t="s">
        <v>277</v>
      </c>
      <c r="K214" s="13" t="s">
        <v>290</v>
      </c>
      <c r="L214" s="16">
        <v>739394</v>
      </c>
      <c r="M214" s="16">
        <v>4921849</v>
      </c>
      <c r="O214" s="13" t="s">
        <v>39</v>
      </c>
      <c r="P214" s="13" t="s">
        <v>280</v>
      </c>
      <c r="Q214" s="17">
        <v>7</v>
      </c>
      <c r="R214" s="13" t="s">
        <v>279</v>
      </c>
      <c r="Z214" s="13">
        <v>7</v>
      </c>
      <c r="AE214" s="13">
        <v>7</v>
      </c>
      <c r="AH214" s="13">
        <v>5.5</v>
      </c>
      <c r="AI214" s="18"/>
    </row>
    <row r="215" spans="1:35" x14ac:dyDescent="0.3">
      <c r="A215" s="14" t="s">
        <v>272</v>
      </c>
      <c r="B215" s="13" t="s">
        <v>273</v>
      </c>
      <c r="C215" s="13" t="s">
        <v>274</v>
      </c>
      <c r="D215" s="13" t="s">
        <v>275</v>
      </c>
      <c r="E215" s="13" t="str">
        <f>INDEX(Sheet1!$E$23:$E$34,MATCH(A215,Sheet1!$D$23:$D$34,0))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15" s="13" t="s">
        <v>276</v>
      </c>
      <c r="H215" s="13" t="s">
        <v>37</v>
      </c>
      <c r="I215" s="13">
        <v>2023</v>
      </c>
      <c r="J215" s="19" t="s">
        <v>277</v>
      </c>
      <c r="K215" s="13" t="s">
        <v>290</v>
      </c>
      <c r="L215" s="16">
        <v>739394</v>
      </c>
      <c r="M215" s="16">
        <v>4921849</v>
      </c>
      <c r="O215" s="13" t="s">
        <v>39</v>
      </c>
      <c r="P215" s="13" t="s">
        <v>280</v>
      </c>
      <c r="Q215" s="17">
        <v>8</v>
      </c>
      <c r="R215" s="13" t="s">
        <v>279</v>
      </c>
      <c r="Z215" s="13">
        <v>8</v>
      </c>
      <c r="AE215" s="13">
        <v>8</v>
      </c>
      <c r="AH215" s="13">
        <v>6</v>
      </c>
      <c r="AI215" s="18"/>
    </row>
    <row r="216" spans="1:35" x14ac:dyDescent="0.3">
      <c r="A216" s="14" t="s">
        <v>272</v>
      </c>
      <c r="B216" s="13" t="s">
        <v>273</v>
      </c>
      <c r="C216" s="13" t="s">
        <v>274</v>
      </c>
      <c r="D216" s="13" t="s">
        <v>275</v>
      </c>
      <c r="E216" s="13" t="str">
        <f>INDEX(Sheet1!$E$23:$E$34,MATCH(A216,Sheet1!$D$23:$D$34,0))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16" s="13" t="s">
        <v>276</v>
      </c>
      <c r="H216" s="13" t="s">
        <v>37</v>
      </c>
      <c r="I216" s="13">
        <v>2023</v>
      </c>
      <c r="J216" s="19" t="s">
        <v>277</v>
      </c>
      <c r="K216" s="13" t="s">
        <v>290</v>
      </c>
      <c r="L216" s="16">
        <v>739394</v>
      </c>
      <c r="M216" s="16">
        <v>4921849</v>
      </c>
      <c r="O216" s="13" t="s">
        <v>39</v>
      </c>
      <c r="P216" s="13" t="s">
        <v>280</v>
      </c>
      <c r="Q216" s="17">
        <v>9</v>
      </c>
      <c r="R216" s="13" t="s">
        <v>279</v>
      </c>
      <c r="Z216" s="13">
        <v>9</v>
      </c>
      <c r="AE216" s="13">
        <v>9</v>
      </c>
      <c r="AH216" s="13">
        <v>6</v>
      </c>
      <c r="AI216" s="18"/>
    </row>
    <row r="217" spans="1:35" x14ac:dyDescent="0.3">
      <c r="A217" s="14" t="s">
        <v>272</v>
      </c>
      <c r="B217" s="13" t="s">
        <v>273</v>
      </c>
      <c r="C217" s="13" t="s">
        <v>274</v>
      </c>
      <c r="D217" s="13" t="s">
        <v>275</v>
      </c>
      <c r="E217" s="13" t="str">
        <f>INDEX(Sheet1!$E$23:$E$34,MATCH(A217,Sheet1!$D$23:$D$34,0))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17" s="13" t="s">
        <v>276</v>
      </c>
      <c r="H217" s="13" t="s">
        <v>37</v>
      </c>
      <c r="I217" s="13">
        <v>2023</v>
      </c>
      <c r="J217" s="19" t="s">
        <v>277</v>
      </c>
      <c r="K217" s="13" t="s">
        <v>290</v>
      </c>
      <c r="L217" s="16">
        <v>739394</v>
      </c>
      <c r="M217" s="16">
        <v>4921849</v>
      </c>
      <c r="O217" s="13" t="s">
        <v>39</v>
      </c>
      <c r="P217" s="13" t="s">
        <v>280</v>
      </c>
      <c r="Q217" s="17">
        <v>10</v>
      </c>
      <c r="R217" s="13" t="s">
        <v>279</v>
      </c>
      <c r="Z217" s="13">
        <v>10</v>
      </c>
      <c r="AE217" s="13">
        <v>10</v>
      </c>
      <c r="AH217" s="13">
        <v>5</v>
      </c>
      <c r="AI217" s="18"/>
    </row>
    <row r="218" spans="1:35" x14ac:dyDescent="0.3">
      <c r="A218" s="14" t="s">
        <v>272</v>
      </c>
      <c r="B218" s="13" t="s">
        <v>273</v>
      </c>
      <c r="C218" s="13" t="s">
        <v>274</v>
      </c>
      <c r="D218" s="13" t="s">
        <v>275</v>
      </c>
      <c r="E218" s="13" t="str">
        <f>INDEX(Sheet1!$E$23:$E$34,MATCH(A218,Sheet1!$D$23:$D$34,0))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18" s="13" t="s">
        <v>276</v>
      </c>
      <c r="H218" s="13" t="s">
        <v>37</v>
      </c>
      <c r="I218" s="13">
        <v>2023</v>
      </c>
      <c r="J218" s="19" t="s">
        <v>277</v>
      </c>
      <c r="K218" s="13" t="s">
        <v>290</v>
      </c>
      <c r="L218" s="16">
        <v>739394</v>
      </c>
      <c r="M218" s="16">
        <v>4921849</v>
      </c>
      <c r="O218" s="13" t="s">
        <v>39</v>
      </c>
      <c r="P218" s="13" t="s">
        <v>280</v>
      </c>
      <c r="Q218" s="17">
        <v>11</v>
      </c>
      <c r="R218" s="13" t="s">
        <v>279</v>
      </c>
      <c r="Z218" s="13">
        <v>11</v>
      </c>
      <c r="AE218" s="13">
        <v>11</v>
      </c>
      <c r="AH218" s="13">
        <v>5.5</v>
      </c>
      <c r="AI218" s="18"/>
    </row>
    <row r="219" spans="1:35" x14ac:dyDescent="0.3">
      <c r="A219" s="14" t="s">
        <v>272</v>
      </c>
      <c r="B219" s="13" t="s">
        <v>273</v>
      </c>
      <c r="C219" s="13" t="s">
        <v>274</v>
      </c>
      <c r="D219" s="13" t="s">
        <v>275</v>
      </c>
      <c r="E219" s="13" t="str">
        <f>INDEX(Sheet1!$E$23:$E$34,MATCH(A219,Sheet1!$D$23:$D$34,0))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19" s="13" t="s">
        <v>276</v>
      </c>
      <c r="H219" s="13" t="s">
        <v>37</v>
      </c>
      <c r="I219" s="13">
        <v>2023</v>
      </c>
      <c r="J219" s="19" t="s">
        <v>277</v>
      </c>
      <c r="K219" s="13" t="s">
        <v>290</v>
      </c>
      <c r="L219" s="16">
        <v>739394</v>
      </c>
      <c r="M219" s="16">
        <v>4921849</v>
      </c>
      <c r="O219" s="13" t="s">
        <v>39</v>
      </c>
      <c r="P219" s="13" t="s">
        <v>280</v>
      </c>
      <c r="Q219" s="17">
        <v>12</v>
      </c>
      <c r="R219" s="13" t="s">
        <v>279</v>
      </c>
      <c r="Z219" s="13">
        <v>12</v>
      </c>
      <c r="AE219" s="13">
        <v>12</v>
      </c>
      <c r="AH219" s="13">
        <v>5.5</v>
      </c>
      <c r="AI219" s="18"/>
    </row>
    <row r="220" spans="1:35" x14ac:dyDescent="0.3">
      <c r="A220" s="14" t="s">
        <v>272</v>
      </c>
      <c r="B220" s="13" t="s">
        <v>273</v>
      </c>
      <c r="C220" s="13" t="s">
        <v>274</v>
      </c>
      <c r="D220" s="13" t="s">
        <v>275</v>
      </c>
      <c r="E220" s="13" t="str">
        <f>INDEX(Sheet1!$E$23:$E$34,MATCH(A220,Sheet1!$D$23:$D$34,0))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20" s="13" t="s">
        <v>276</v>
      </c>
      <c r="H220" s="13" t="s">
        <v>37</v>
      </c>
      <c r="I220" s="13">
        <v>2023</v>
      </c>
      <c r="J220" s="19" t="s">
        <v>277</v>
      </c>
      <c r="K220" s="13" t="s">
        <v>290</v>
      </c>
      <c r="L220" s="16">
        <v>739394</v>
      </c>
      <c r="M220" s="16">
        <v>4921849</v>
      </c>
      <c r="O220" s="13" t="s">
        <v>39</v>
      </c>
      <c r="P220" s="13" t="s">
        <v>280</v>
      </c>
      <c r="Q220" s="17">
        <v>13</v>
      </c>
      <c r="R220" s="13" t="s">
        <v>279</v>
      </c>
      <c r="Z220" s="13">
        <v>13</v>
      </c>
      <c r="AE220" s="13">
        <v>13</v>
      </c>
      <c r="AH220" s="13">
        <v>5.5</v>
      </c>
      <c r="AI220" s="18"/>
    </row>
    <row r="221" spans="1:35" x14ac:dyDescent="0.3">
      <c r="A221" s="14" t="s">
        <v>272</v>
      </c>
      <c r="B221" s="13" t="s">
        <v>273</v>
      </c>
      <c r="C221" s="13" t="s">
        <v>274</v>
      </c>
      <c r="D221" s="13" t="s">
        <v>275</v>
      </c>
      <c r="E221" s="13" t="str">
        <f>INDEX(Sheet1!$E$23:$E$34,MATCH(A221,Sheet1!$D$23:$D$34,0))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21" s="13" t="s">
        <v>276</v>
      </c>
      <c r="H221" s="13" t="s">
        <v>37</v>
      </c>
      <c r="I221" s="13">
        <v>2023</v>
      </c>
      <c r="J221" s="19" t="s">
        <v>277</v>
      </c>
      <c r="K221" s="13" t="s">
        <v>290</v>
      </c>
      <c r="L221" s="16">
        <v>739394</v>
      </c>
      <c r="M221" s="16">
        <v>4921849</v>
      </c>
      <c r="O221" s="13" t="s">
        <v>39</v>
      </c>
      <c r="P221" s="13" t="s">
        <v>280</v>
      </c>
      <c r="Q221" s="17">
        <v>14</v>
      </c>
      <c r="R221" s="13" t="s">
        <v>279</v>
      </c>
      <c r="Z221" s="13">
        <v>14</v>
      </c>
      <c r="AE221" s="13">
        <v>14</v>
      </c>
      <c r="AH221" s="13">
        <v>5.5</v>
      </c>
      <c r="AI221" s="18"/>
    </row>
    <row r="222" spans="1:35" x14ac:dyDescent="0.3">
      <c r="A222" s="14" t="s">
        <v>272</v>
      </c>
      <c r="B222" s="13" t="s">
        <v>273</v>
      </c>
      <c r="C222" s="13" t="s">
        <v>274</v>
      </c>
      <c r="D222" s="13" t="s">
        <v>275</v>
      </c>
      <c r="E222" s="13" t="str">
        <f>INDEX(Sheet1!$E$23:$E$34,MATCH(A222,Sheet1!$D$23:$D$34,0))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22" s="13" t="s">
        <v>276</v>
      </c>
      <c r="H222" s="13" t="s">
        <v>37</v>
      </c>
      <c r="I222" s="13">
        <v>2023</v>
      </c>
      <c r="J222" s="19" t="s">
        <v>277</v>
      </c>
      <c r="K222" s="13" t="s">
        <v>291</v>
      </c>
      <c r="L222" s="16">
        <v>739643</v>
      </c>
      <c r="M222" s="16">
        <v>4922164</v>
      </c>
      <c r="O222" s="13" t="s">
        <v>45</v>
      </c>
      <c r="P222" s="13" t="s">
        <v>168</v>
      </c>
      <c r="Q222" s="17">
        <v>1</v>
      </c>
      <c r="R222" s="13" t="s">
        <v>279</v>
      </c>
      <c r="Z222" s="13">
        <v>1</v>
      </c>
      <c r="AE222" s="13">
        <v>1</v>
      </c>
      <c r="AH222" s="13">
        <v>17</v>
      </c>
      <c r="AI222" s="18"/>
    </row>
    <row r="223" spans="1:35" x14ac:dyDescent="0.3">
      <c r="A223" s="14" t="s">
        <v>272</v>
      </c>
      <c r="B223" s="13" t="s">
        <v>273</v>
      </c>
      <c r="C223" s="13" t="s">
        <v>274</v>
      </c>
      <c r="D223" s="13" t="s">
        <v>275</v>
      </c>
      <c r="E223" s="13" t="str">
        <f>INDEX(Sheet1!$E$23:$E$34,MATCH(A223,Sheet1!$D$23:$D$34,0))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23" s="13" t="s">
        <v>276</v>
      </c>
      <c r="H223" s="13" t="s">
        <v>37</v>
      </c>
      <c r="I223" s="13">
        <v>2023</v>
      </c>
      <c r="J223" s="19" t="s">
        <v>277</v>
      </c>
      <c r="K223" s="13" t="s">
        <v>291</v>
      </c>
      <c r="L223" s="16">
        <v>739643</v>
      </c>
      <c r="M223" s="16">
        <v>4922164</v>
      </c>
      <c r="O223" s="13" t="s">
        <v>45</v>
      </c>
      <c r="P223" s="13" t="s">
        <v>168</v>
      </c>
      <c r="Q223" s="17">
        <v>2</v>
      </c>
      <c r="R223" s="13" t="s">
        <v>279</v>
      </c>
      <c r="Z223" s="13">
        <v>2</v>
      </c>
      <c r="AE223" s="13">
        <v>2</v>
      </c>
      <c r="AH223" s="13">
        <v>16.5</v>
      </c>
      <c r="AI223" s="18"/>
    </row>
    <row r="224" spans="1:35" x14ac:dyDescent="0.3">
      <c r="A224" s="14" t="s">
        <v>272</v>
      </c>
      <c r="B224" s="13" t="s">
        <v>273</v>
      </c>
      <c r="C224" s="13" t="s">
        <v>274</v>
      </c>
      <c r="D224" s="13" t="s">
        <v>275</v>
      </c>
      <c r="E224" s="13" t="str">
        <f>INDEX(Sheet1!$E$23:$E$34,MATCH(A224,Sheet1!$D$23:$D$34,0))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24" s="13" t="s">
        <v>276</v>
      </c>
      <c r="H224" s="13" t="s">
        <v>37</v>
      </c>
      <c r="I224" s="13">
        <v>2023</v>
      </c>
      <c r="J224" s="19" t="s">
        <v>277</v>
      </c>
      <c r="K224" s="13" t="s">
        <v>291</v>
      </c>
      <c r="L224" s="16">
        <v>739643</v>
      </c>
      <c r="M224" s="16">
        <v>4922164</v>
      </c>
      <c r="O224" s="13" t="s">
        <v>45</v>
      </c>
      <c r="P224" s="13" t="s">
        <v>168</v>
      </c>
      <c r="Q224" s="17">
        <v>3</v>
      </c>
      <c r="R224" s="13" t="s">
        <v>279</v>
      </c>
      <c r="Z224" s="13">
        <v>3</v>
      </c>
      <c r="AE224" s="13">
        <v>3</v>
      </c>
      <c r="AH224" s="13">
        <v>19</v>
      </c>
      <c r="AI224" s="18"/>
    </row>
    <row r="225" spans="1:35" x14ac:dyDescent="0.3">
      <c r="A225" s="14" t="s">
        <v>272</v>
      </c>
      <c r="B225" s="13" t="s">
        <v>273</v>
      </c>
      <c r="C225" s="13" t="s">
        <v>274</v>
      </c>
      <c r="D225" s="13" t="s">
        <v>275</v>
      </c>
      <c r="E225" s="13" t="str">
        <f>INDEX(Sheet1!$E$23:$E$34,MATCH(A225,Sheet1!$D$23:$D$34,0))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25" s="13" t="s">
        <v>276</v>
      </c>
      <c r="H225" s="13" t="s">
        <v>37</v>
      </c>
      <c r="I225" s="13">
        <v>2023</v>
      </c>
      <c r="J225" s="19" t="s">
        <v>277</v>
      </c>
      <c r="K225" s="13" t="s">
        <v>291</v>
      </c>
      <c r="L225" s="16">
        <v>739643</v>
      </c>
      <c r="M225" s="16">
        <v>4922164</v>
      </c>
      <c r="O225" s="13" t="s">
        <v>282</v>
      </c>
      <c r="Q225" s="17">
        <v>4</v>
      </c>
      <c r="R225" s="13" t="s">
        <v>279</v>
      </c>
      <c r="Z225" s="13">
        <v>4</v>
      </c>
      <c r="AE225" s="13">
        <v>4</v>
      </c>
      <c r="AH225" s="13">
        <v>10</v>
      </c>
      <c r="AI225" s="18"/>
    </row>
    <row r="226" spans="1:35" x14ac:dyDescent="0.3">
      <c r="A226" s="14" t="s">
        <v>272</v>
      </c>
      <c r="B226" s="13" t="s">
        <v>273</v>
      </c>
      <c r="C226" s="13" t="s">
        <v>274</v>
      </c>
      <c r="D226" s="13" t="s">
        <v>275</v>
      </c>
      <c r="E226" s="13" t="str">
        <f>INDEX(Sheet1!$E$23:$E$34,MATCH(A226,Sheet1!$D$23:$D$34,0))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26" s="13" t="s">
        <v>276</v>
      </c>
      <c r="H226" s="13" t="s">
        <v>37</v>
      </c>
      <c r="I226" s="13">
        <v>2023</v>
      </c>
      <c r="J226" s="19" t="s">
        <v>277</v>
      </c>
      <c r="K226" s="13" t="s">
        <v>291</v>
      </c>
      <c r="L226" s="16">
        <v>739643</v>
      </c>
      <c r="M226" s="16">
        <v>4922164</v>
      </c>
      <c r="O226" s="13" t="s">
        <v>282</v>
      </c>
      <c r="Q226" s="17">
        <v>5</v>
      </c>
      <c r="R226" s="13" t="s">
        <v>279</v>
      </c>
      <c r="Z226" s="13">
        <v>5</v>
      </c>
      <c r="AE226" s="13">
        <v>5</v>
      </c>
      <c r="AH226" s="13">
        <v>8.5</v>
      </c>
      <c r="AI226" s="18"/>
    </row>
    <row r="227" spans="1:35" x14ac:dyDescent="0.3">
      <c r="A227" s="14" t="s">
        <v>272</v>
      </c>
      <c r="B227" s="13" t="s">
        <v>273</v>
      </c>
      <c r="C227" s="13" t="s">
        <v>274</v>
      </c>
      <c r="D227" s="13" t="s">
        <v>275</v>
      </c>
      <c r="E227" s="13" t="str">
        <f>INDEX(Sheet1!$E$23:$E$34,MATCH(A227,Sheet1!$D$23:$D$34,0))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27" s="13" t="s">
        <v>276</v>
      </c>
      <c r="H227" s="13" t="s">
        <v>37</v>
      </c>
      <c r="I227" s="13">
        <v>2023</v>
      </c>
      <c r="J227" s="19" t="s">
        <v>277</v>
      </c>
      <c r="K227" s="13" t="s">
        <v>291</v>
      </c>
      <c r="L227" s="16">
        <v>739643</v>
      </c>
      <c r="M227" s="16">
        <v>4922164</v>
      </c>
      <c r="O227" s="13" t="s">
        <v>45</v>
      </c>
      <c r="P227" s="13" t="s">
        <v>168</v>
      </c>
      <c r="Q227" s="17">
        <v>6</v>
      </c>
      <c r="R227" s="13" t="s">
        <v>279</v>
      </c>
      <c r="Z227" s="13">
        <v>6</v>
      </c>
      <c r="AE227" s="13">
        <v>6</v>
      </c>
      <c r="AH227" s="13">
        <v>6.5</v>
      </c>
      <c r="AI227" s="18"/>
    </row>
    <row r="228" spans="1:35" x14ac:dyDescent="0.3">
      <c r="A228" s="14" t="s">
        <v>272</v>
      </c>
      <c r="B228" s="13" t="s">
        <v>273</v>
      </c>
      <c r="C228" s="13" t="s">
        <v>274</v>
      </c>
      <c r="D228" s="13" t="s">
        <v>275</v>
      </c>
      <c r="E228" s="13" t="str">
        <f>INDEX(Sheet1!$E$23:$E$34,MATCH(A228,Sheet1!$D$23:$D$34,0))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28" s="13" t="s">
        <v>276</v>
      </c>
      <c r="H228" s="13" t="s">
        <v>37</v>
      </c>
      <c r="I228" s="13">
        <v>2023</v>
      </c>
      <c r="J228" s="19" t="s">
        <v>277</v>
      </c>
      <c r="K228" s="13" t="s">
        <v>291</v>
      </c>
      <c r="L228" s="16">
        <v>739643</v>
      </c>
      <c r="M228" s="16">
        <v>4922164</v>
      </c>
      <c r="O228" s="13" t="s">
        <v>285</v>
      </c>
      <c r="P228" s="13" t="s">
        <v>86</v>
      </c>
      <c r="Q228" s="17">
        <v>7</v>
      </c>
      <c r="R228" s="13" t="s">
        <v>279</v>
      </c>
      <c r="Z228" s="13">
        <v>7</v>
      </c>
      <c r="AE228" s="13">
        <v>7</v>
      </c>
      <c r="AH228" s="13">
        <v>10.5</v>
      </c>
      <c r="AI228" s="18"/>
    </row>
    <row r="229" spans="1:35" x14ac:dyDescent="0.3">
      <c r="A229" s="14" t="s">
        <v>272</v>
      </c>
      <c r="B229" s="13" t="s">
        <v>273</v>
      </c>
      <c r="C229" s="13" t="s">
        <v>274</v>
      </c>
      <c r="D229" s="13" t="s">
        <v>275</v>
      </c>
      <c r="E229" s="13" t="str">
        <f>INDEX(Sheet1!$E$23:$E$34,MATCH(A229,Sheet1!$D$23:$D$34,0))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29" s="13" t="s">
        <v>276</v>
      </c>
      <c r="H229" s="13" t="s">
        <v>37</v>
      </c>
      <c r="I229" s="13">
        <v>2023</v>
      </c>
      <c r="J229" s="19" t="s">
        <v>277</v>
      </c>
      <c r="K229" s="13" t="s">
        <v>291</v>
      </c>
      <c r="L229" s="16">
        <v>739643</v>
      </c>
      <c r="M229" s="16">
        <v>4922164</v>
      </c>
      <c r="O229" s="13" t="s">
        <v>285</v>
      </c>
      <c r="P229" s="13" t="s">
        <v>86</v>
      </c>
      <c r="Q229" s="17">
        <v>8</v>
      </c>
      <c r="R229" s="13" t="s">
        <v>279</v>
      </c>
      <c r="Z229" s="13">
        <v>8</v>
      </c>
      <c r="AE229" s="13">
        <v>8</v>
      </c>
      <c r="AH229" s="13">
        <v>13</v>
      </c>
      <c r="AI229" s="18"/>
    </row>
    <row r="230" spans="1:35" x14ac:dyDescent="0.3">
      <c r="A230" s="14" t="s">
        <v>272</v>
      </c>
      <c r="B230" s="13" t="s">
        <v>273</v>
      </c>
      <c r="C230" s="13" t="s">
        <v>274</v>
      </c>
      <c r="D230" s="13" t="s">
        <v>275</v>
      </c>
      <c r="E230" s="13" t="str">
        <f>INDEX(Sheet1!$E$23:$E$34,MATCH(A230,Sheet1!$D$23:$D$34,0))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30" s="13" t="s">
        <v>276</v>
      </c>
      <c r="H230" s="13" t="s">
        <v>37</v>
      </c>
      <c r="I230" s="13">
        <v>2023</v>
      </c>
      <c r="J230" s="19" t="s">
        <v>277</v>
      </c>
      <c r="K230" s="13" t="s">
        <v>291</v>
      </c>
      <c r="L230" s="16">
        <v>739643</v>
      </c>
      <c r="M230" s="16">
        <v>4922164</v>
      </c>
      <c r="O230" s="13" t="s">
        <v>45</v>
      </c>
      <c r="P230" s="13" t="s">
        <v>168</v>
      </c>
      <c r="Q230" s="17">
        <v>9</v>
      </c>
      <c r="R230" s="13" t="s">
        <v>279</v>
      </c>
      <c r="Z230" s="13">
        <v>9</v>
      </c>
      <c r="AE230" s="13">
        <v>9</v>
      </c>
      <c r="AH230" s="13">
        <v>7.5</v>
      </c>
      <c r="AI230" s="18"/>
    </row>
    <row r="231" spans="1:35" x14ac:dyDescent="0.3">
      <c r="A231" s="14" t="s">
        <v>272</v>
      </c>
      <c r="B231" s="13" t="s">
        <v>273</v>
      </c>
      <c r="C231" s="13" t="s">
        <v>274</v>
      </c>
      <c r="D231" s="13" t="s">
        <v>275</v>
      </c>
      <c r="E231" s="13" t="str">
        <f>INDEX(Sheet1!$E$23:$E$34,MATCH(A231,Sheet1!$D$23:$D$34,0))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31" s="13" t="s">
        <v>276</v>
      </c>
      <c r="H231" s="13" t="s">
        <v>37</v>
      </c>
      <c r="I231" s="13">
        <v>2023</v>
      </c>
      <c r="J231" s="19" t="s">
        <v>277</v>
      </c>
      <c r="K231" s="13" t="s">
        <v>291</v>
      </c>
      <c r="L231" s="16">
        <v>739643</v>
      </c>
      <c r="M231" s="16">
        <v>4922164</v>
      </c>
      <c r="O231" s="13" t="s">
        <v>39</v>
      </c>
      <c r="P231" s="13" t="s">
        <v>280</v>
      </c>
      <c r="Q231" s="17">
        <v>10</v>
      </c>
      <c r="R231" s="13" t="s">
        <v>279</v>
      </c>
      <c r="Z231" s="13">
        <v>10</v>
      </c>
      <c r="AE231" s="13">
        <v>10</v>
      </c>
      <c r="AH231" s="13">
        <v>6</v>
      </c>
      <c r="AI231" s="18"/>
    </row>
    <row r="232" spans="1:35" x14ac:dyDescent="0.3">
      <c r="A232" s="14" t="s">
        <v>272</v>
      </c>
      <c r="B232" s="13" t="s">
        <v>273</v>
      </c>
      <c r="C232" s="13" t="s">
        <v>274</v>
      </c>
      <c r="D232" s="13" t="s">
        <v>275</v>
      </c>
      <c r="E232" s="13" t="str">
        <f>INDEX(Sheet1!$E$23:$E$34,MATCH(A232,Sheet1!$D$23:$D$34,0))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32" s="13" t="s">
        <v>276</v>
      </c>
      <c r="H232" s="13" t="s">
        <v>37</v>
      </c>
      <c r="I232" s="13">
        <v>2023</v>
      </c>
      <c r="J232" s="19" t="s">
        <v>277</v>
      </c>
      <c r="K232" s="13" t="s">
        <v>291</v>
      </c>
      <c r="L232" s="16">
        <v>739643</v>
      </c>
      <c r="M232" s="16">
        <v>4922164</v>
      </c>
      <c r="O232" s="13" t="s">
        <v>45</v>
      </c>
      <c r="P232" s="13" t="s">
        <v>168</v>
      </c>
      <c r="Q232" s="17">
        <v>11</v>
      </c>
      <c r="R232" s="13" t="s">
        <v>279</v>
      </c>
      <c r="Z232" s="13">
        <v>11</v>
      </c>
      <c r="AE232" s="13">
        <v>11</v>
      </c>
      <c r="AH232" s="13">
        <v>6.5</v>
      </c>
      <c r="AI232" s="18"/>
    </row>
    <row r="233" spans="1:35" x14ac:dyDescent="0.3">
      <c r="A233" s="14" t="s">
        <v>272</v>
      </c>
      <c r="B233" s="13" t="s">
        <v>273</v>
      </c>
      <c r="C233" s="13" t="s">
        <v>274</v>
      </c>
      <c r="D233" s="13" t="s">
        <v>275</v>
      </c>
      <c r="E233" s="13" t="str">
        <f>INDEX(Sheet1!$E$23:$E$34,MATCH(A233,Sheet1!$D$23:$D$34,0))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33" s="13" t="s">
        <v>276</v>
      </c>
      <c r="H233" s="13" t="s">
        <v>37</v>
      </c>
      <c r="I233" s="13">
        <v>2023</v>
      </c>
      <c r="J233" s="19" t="s">
        <v>277</v>
      </c>
      <c r="K233" s="13" t="s">
        <v>291</v>
      </c>
      <c r="L233" s="16">
        <v>739643</v>
      </c>
      <c r="M233" s="16">
        <v>4922164</v>
      </c>
      <c r="O233" s="13" t="s">
        <v>45</v>
      </c>
      <c r="P233" s="13" t="s">
        <v>168</v>
      </c>
      <c r="Q233" s="17">
        <v>12</v>
      </c>
      <c r="R233" s="13" t="s">
        <v>279</v>
      </c>
      <c r="Z233" s="13">
        <v>12</v>
      </c>
      <c r="AE233" s="13">
        <v>12</v>
      </c>
      <c r="AH233" s="13">
        <v>6.5</v>
      </c>
      <c r="AI233" s="18"/>
    </row>
    <row r="234" spans="1:35" x14ac:dyDescent="0.3">
      <c r="A234" s="14" t="s">
        <v>272</v>
      </c>
      <c r="B234" s="13" t="s">
        <v>273</v>
      </c>
      <c r="C234" s="13" t="s">
        <v>274</v>
      </c>
      <c r="D234" s="13" t="s">
        <v>275</v>
      </c>
      <c r="E234" s="13" t="str">
        <f>INDEX(Sheet1!$E$23:$E$34,MATCH(A234,Sheet1!$D$23:$D$34,0))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G234" s="13" t="s">
        <v>276</v>
      </c>
      <c r="H234" s="13" t="s">
        <v>37</v>
      </c>
      <c r="I234" s="13">
        <v>2023</v>
      </c>
      <c r="J234" s="19" t="s">
        <v>277</v>
      </c>
      <c r="K234" s="13" t="s">
        <v>291</v>
      </c>
      <c r="L234" s="16">
        <v>739643</v>
      </c>
      <c r="M234" s="16">
        <v>4922164</v>
      </c>
      <c r="O234" s="13" t="s">
        <v>39</v>
      </c>
      <c r="P234" s="13" t="s">
        <v>280</v>
      </c>
      <c r="Q234" s="17">
        <v>13</v>
      </c>
      <c r="R234" s="13" t="s">
        <v>279</v>
      </c>
      <c r="Z234" s="13">
        <v>13</v>
      </c>
      <c r="AE234" s="13">
        <v>13</v>
      </c>
      <c r="AH234" s="13">
        <v>5.5</v>
      </c>
      <c r="AI234" s="18"/>
    </row>
    <row r="235" spans="1:35" ht="15" thickBot="1" x14ac:dyDescent="0.35">
      <c r="A235" s="23" t="s">
        <v>272</v>
      </c>
      <c r="B235" s="24" t="s">
        <v>273</v>
      </c>
      <c r="C235" s="24" t="s">
        <v>274</v>
      </c>
      <c r="D235" s="24" t="s">
        <v>275</v>
      </c>
      <c r="E235" s="13" t="str">
        <f>INDEX(Sheet1!$E$23:$E$34,MATCH(A235,Sheet1!$D$23:$D$34,0))</f>
        <v xml:space="preserve">Brian Reid (2022) Informe de resutados de pesca de investigación asociado al permiso SUBPESCA, R. EX N°E-2022-499. Proyecto: Efecto de sedimentos suspendidos a la alimentación de los peces nativos e introducidos, en la cuenca del río Simpson, región de Aysén. Centro de Investigación de Ecosistemas de la Patagonia. </v>
      </c>
      <c r="F235" s="24"/>
      <c r="G235" s="24" t="s">
        <v>276</v>
      </c>
      <c r="H235" s="24" t="s">
        <v>37</v>
      </c>
      <c r="I235" s="24">
        <v>2023</v>
      </c>
      <c r="J235" s="25" t="s">
        <v>277</v>
      </c>
      <c r="K235" s="24" t="s">
        <v>292</v>
      </c>
      <c r="L235" s="26">
        <v>740171</v>
      </c>
      <c r="M235" s="26">
        <v>4922591</v>
      </c>
      <c r="N235" s="24"/>
      <c r="O235" s="24" t="s">
        <v>39</v>
      </c>
      <c r="P235" s="24" t="s">
        <v>280</v>
      </c>
      <c r="Q235" s="27">
        <v>14</v>
      </c>
      <c r="R235" s="24" t="s">
        <v>279</v>
      </c>
      <c r="S235" s="27"/>
      <c r="T235" s="24"/>
      <c r="U235" s="24"/>
      <c r="V235" s="24"/>
      <c r="W235" s="24"/>
      <c r="X235" s="24"/>
      <c r="Y235" s="24"/>
      <c r="Z235" s="24">
        <v>14</v>
      </c>
      <c r="AA235" s="24"/>
      <c r="AB235" s="24"/>
      <c r="AC235" s="24"/>
      <c r="AD235" s="24"/>
      <c r="AE235" s="24">
        <v>14</v>
      </c>
      <c r="AF235" s="24"/>
      <c r="AG235" s="24"/>
      <c r="AH235" s="24">
        <v>5</v>
      </c>
      <c r="AI235" s="28"/>
    </row>
  </sheetData>
  <autoFilter ref="A1:AI2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Original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Aguilar González</dc:creator>
  <cp:lastModifiedBy>cristian  correa</cp:lastModifiedBy>
  <dcterms:created xsi:type="dcterms:W3CDTF">2015-06-05T18:19:34Z</dcterms:created>
  <dcterms:modified xsi:type="dcterms:W3CDTF">2023-06-28T13:06:35Z</dcterms:modified>
</cp:coreProperties>
</file>